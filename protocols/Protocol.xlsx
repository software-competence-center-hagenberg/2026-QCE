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-QCE\protocols\"/>
    </mc:Choice>
  </mc:AlternateContent>
  <xr:revisionPtr revIDLastSave="0" documentId="8_{5BC29CC1-FB09-4128-A05D-FA1D61259E86}" xr6:coauthVersionLast="47" xr6:coauthVersionMax="47" xr10:uidLastSave="{00000000-0000-0000-0000-000000000000}"/>
  <bookViews>
    <workbookView xWindow="-108" yWindow="-108" windowWidth="23256" windowHeight="12456" activeTab="3" xr2:uid="{9E7E1A49-4059-4147-A976-A1C0E4E741DF}"/>
  </bookViews>
  <sheets>
    <sheet name="GPT5.5" sheetId="1" r:id="rId1"/>
    <sheet name="Qwen3.6" sheetId="2" r:id="rId2"/>
    <sheet name="data_frame_C" sheetId="3" r:id="rId3"/>
    <sheet name="data_frame_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5" i="4" l="1"/>
  <c r="D225" i="4"/>
  <c r="C225" i="4"/>
  <c r="B225" i="4"/>
  <c r="E162" i="4"/>
  <c r="D162" i="4"/>
  <c r="C162" i="4"/>
  <c r="B162" i="4"/>
  <c r="E217" i="4"/>
  <c r="D217" i="4"/>
  <c r="C217" i="4"/>
  <c r="B217" i="4"/>
  <c r="E209" i="4"/>
  <c r="D209" i="4"/>
  <c r="C209" i="4"/>
  <c r="B209" i="4"/>
  <c r="E201" i="4"/>
  <c r="D201" i="4"/>
  <c r="C201" i="4"/>
  <c r="B201" i="4"/>
  <c r="E193" i="4"/>
  <c r="D193" i="4"/>
  <c r="C193" i="4"/>
  <c r="B193" i="4"/>
  <c r="E185" i="4"/>
  <c r="D185" i="4"/>
  <c r="C185" i="4"/>
  <c r="B185" i="4"/>
  <c r="E177" i="4"/>
  <c r="D177" i="4"/>
  <c r="C177" i="4"/>
  <c r="B177" i="4"/>
  <c r="E169" i="4"/>
  <c r="D169" i="4"/>
  <c r="C169" i="4"/>
  <c r="B169" i="4"/>
  <c r="E154" i="4"/>
  <c r="D154" i="4"/>
  <c r="C154" i="4"/>
  <c r="B154" i="4"/>
  <c r="E146" i="4"/>
  <c r="D146" i="4"/>
  <c r="C146" i="4"/>
  <c r="B146" i="4"/>
  <c r="E138" i="4"/>
  <c r="D138" i="4"/>
  <c r="C138" i="4"/>
  <c r="B138" i="4"/>
  <c r="E130" i="4"/>
  <c r="D130" i="4"/>
  <c r="C130" i="4"/>
  <c r="B130" i="4"/>
  <c r="E122" i="4"/>
  <c r="D122" i="4"/>
  <c r="C122" i="4"/>
  <c r="B122" i="4"/>
  <c r="E114" i="4"/>
  <c r="D114" i="4"/>
  <c r="C114" i="4"/>
  <c r="B114" i="4"/>
  <c r="E106" i="4"/>
  <c r="D106" i="4"/>
  <c r="C106" i="4"/>
  <c r="B106" i="4"/>
  <c r="D98" i="4"/>
  <c r="E98" i="4"/>
  <c r="C98" i="4"/>
  <c r="B98" i="4"/>
  <c r="E91" i="4"/>
  <c r="D91" i="4"/>
  <c r="C91" i="4"/>
  <c r="B91" i="4"/>
  <c r="E83" i="4"/>
  <c r="D83" i="4"/>
  <c r="C83" i="4"/>
  <c r="B83" i="4"/>
  <c r="E76" i="4"/>
  <c r="D76" i="4"/>
  <c r="C76" i="4"/>
  <c r="B76" i="4"/>
  <c r="E68" i="4"/>
  <c r="D68" i="4"/>
  <c r="C68" i="4"/>
  <c r="B68" i="4"/>
  <c r="E60" i="4"/>
  <c r="D60" i="4"/>
  <c r="C60" i="4"/>
  <c r="B60" i="4"/>
  <c r="E53" i="4"/>
  <c r="D53" i="4"/>
  <c r="C53" i="4"/>
  <c r="B53" i="4"/>
  <c r="E46" i="4"/>
  <c r="D46" i="4"/>
  <c r="C46" i="4"/>
  <c r="B46" i="4"/>
  <c r="E39" i="4"/>
  <c r="D39" i="4"/>
  <c r="C39" i="4"/>
  <c r="B39" i="4"/>
  <c r="E31" i="4"/>
  <c r="D31" i="4"/>
  <c r="C31" i="4"/>
  <c r="B31" i="4"/>
  <c r="D24" i="4"/>
  <c r="E24" i="4"/>
  <c r="C24" i="4"/>
  <c r="B24" i="4"/>
  <c r="E17" i="4"/>
  <c r="D17" i="4"/>
  <c r="C17" i="4"/>
  <c r="B17" i="4"/>
  <c r="E9" i="4"/>
  <c r="D9" i="4"/>
  <c r="C9" i="4"/>
  <c r="B9" i="4"/>
  <c r="E125" i="3"/>
  <c r="D125" i="3"/>
  <c r="E109" i="3"/>
  <c r="D109" i="3"/>
  <c r="E113" i="3" s="1"/>
  <c r="E97" i="3"/>
  <c r="D97" i="3"/>
  <c r="E92" i="3"/>
  <c r="D92" i="3"/>
  <c r="E87" i="3"/>
  <c r="D87" i="3"/>
  <c r="E82" i="3"/>
  <c r="D82" i="3"/>
  <c r="E77" i="3"/>
  <c r="D77" i="3"/>
  <c r="E72" i="3"/>
  <c r="D72" i="3"/>
  <c r="E67" i="3"/>
  <c r="D67" i="3"/>
  <c r="E62" i="3"/>
  <c r="D62" i="3"/>
  <c r="E57" i="3"/>
  <c r="D57" i="3"/>
  <c r="E52" i="3"/>
  <c r="D52" i="3"/>
  <c r="E47" i="3"/>
  <c r="D47" i="3"/>
  <c r="E42" i="3"/>
  <c r="D42" i="3"/>
  <c r="E37" i="3"/>
  <c r="D37" i="3"/>
  <c r="E32" i="3"/>
  <c r="D32" i="3"/>
  <c r="E27" i="3"/>
  <c r="D27" i="3"/>
  <c r="E21" i="3"/>
  <c r="D21" i="3"/>
  <c r="E16" i="3"/>
  <c r="D16" i="3"/>
  <c r="E11" i="3"/>
  <c r="D11" i="3"/>
  <c r="E6" i="3"/>
  <c r="D6" i="3"/>
  <c r="K18" i="1"/>
  <c r="K19" i="1"/>
  <c r="K36" i="1"/>
  <c r="K37" i="1"/>
  <c r="K38" i="1"/>
  <c r="K39" i="1"/>
  <c r="K40" i="1"/>
  <c r="K41" i="1"/>
  <c r="K20" i="1"/>
  <c r="K21" i="1"/>
  <c r="K24" i="1"/>
  <c r="K25" i="1"/>
  <c r="K26" i="1"/>
  <c r="K27" i="1"/>
  <c r="K28" i="1"/>
  <c r="K29" i="1"/>
  <c r="K30" i="1"/>
  <c r="K31" i="1"/>
  <c r="K32" i="1"/>
  <c r="K33" i="1"/>
  <c r="D113" i="3" l="1"/>
</calcChain>
</file>

<file path=xl/sharedStrings.xml><?xml version="1.0" encoding="utf-8"?>
<sst xmlns="http://schemas.openxmlformats.org/spreadsheetml/2006/main" count="549" uniqueCount="173">
  <si>
    <t>PATH</t>
  </si>
  <si>
    <t>NUM_QUBITS</t>
  </si>
  <si>
    <t>DEPTH</t>
  </si>
  <si>
    <t>2-qubits-2-depth-02.txt</t>
  </si>
  <si>
    <t>2-qubits-2-depth-01.txt</t>
  </si>
  <si>
    <t>Cycles</t>
  </si>
  <si>
    <t>Fidelity</t>
  </si>
  <si>
    <t>3-qubits-6-depth-02.txt</t>
  </si>
  <si>
    <t>3-qubits-6-depth-01.txt</t>
  </si>
  <si>
    <t>6-qubits-3-depth-02.txt</t>
  </si>
  <si>
    <t>6-qubits-3-depth-01.txt</t>
  </si>
  <si>
    <t>6-qubits-6-depth-01.txt</t>
  </si>
  <si>
    <t>6-qubits-6-depth-02.txt</t>
  </si>
  <si>
    <t>Fidelity [-1]</t>
  </si>
  <si>
    <t>Fidelity [-2]</t>
  </si>
  <si>
    <t>6-qubits-6-depth-03.txt</t>
  </si>
  <si>
    <t>8-qubits-4-depth-01.txt</t>
  </si>
  <si>
    <t>10-qubits-4-depth-01.txt</t>
  </si>
  <si>
    <t>Fidelity [-3]</t>
  </si>
  <si>
    <t>Fidelity [-4]</t>
  </si>
  <si>
    <t>Fidelity [-5]</t>
  </si>
  <si>
    <t>10-qubits-4-depth-02.txt</t>
  </si>
  <si>
    <t>4-qubits-10-depth-01.txt</t>
  </si>
  <si>
    <t>4-qubits-10-depth-02.txt</t>
  </si>
  <si>
    <t>6-qubits-10-depth-01.txt</t>
  </si>
  <si>
    <t>6-qubits-10-depth-02.txt</t>
  </si>
  <si>
    <t>6-qubits-14-depth-01.txt</t>
  </si>
  <si>
    <t>6-qubits-14-depth-02.txt</t>
  </si>
  <si>
    <t>8-qubits-14-depth-02.txt</t>
  </si>
  <si>
    <t>Gates Random Circuit</t>
  </si>
  <si>
    <t>Total</t>
  </si>
  <si>
    <t>1-qubit</t>
  </si>
  <si>
    <t>2-qubit</t>
  </si>
  <si>
    <t>Gates LLM Circuit</t>
  </si>
  <si>
    <t>n-qubit</t>
  </si>
  <si>
    <t>8-qubits-14-depth-01.txt</t>
  </si>
  <si>
    <t>8-qubits-12-depth-02.txt</t>
  </si>
  <si>
    <t>8-qubits-12-depth-01.txt</t>
  </si>
  <si>
    <t>8-qubits-10-depth-02.txt</t>
  </si>
  <si>
    <t>8-qubits-10-depth-01.txt</t>
  </si>
  <si>
    <t>8-qubits-8-depth-02.txt</t>
  </si>
  <si>
    <t>8-qubits-8-depth-01.txt</t>
  </si>
  <si>
    <t>8-qubits-6-depth-02.txt</t>
  </si>
  <si>
    <t>8-qubits-6-depth-01.txt</t>
  </si>
  <si>
    <t>8-qubits-2-depth-02.txt</t>
  </si>
  <si>
    <t>8-qubits-2-depth-01.txt</t>
  </si>
  <si>
    <t>12-qubits-6-depth-02.txt</t>
  </si>
  <si>
    <t>12-qubits-6-depth-01.txt</t>
  </si>
  <si>
    <t>12-qubits-4-depth-02.txt</t>
  </si>
  <si>
    <t>12-qubits-4-depth-01.txt</t>
  </si>
  <si>
    <t>12-qubits-2-depth-02.txt</t>
  </si>
  <si>
    <t>12-qubits-2-depth-01.txt</t>
  </si>
  <si>
    <t>6-qubits-16-depth-01.txt</t>
  </si>
  <si>
    <t>6-qubits-16-depth-02.txt</t>
  </si>
  <si>
    <t>qft5-01.txt</t>
  </si>
  <si>
    <t>qft5-02.txt</t>
  </si>
  <si>
    <t>qft5-03.txt</t>
  </si>
  <si>
    <t>aa5-01.txt</t>
  </si>
  <si>
    <t>qec_en_n5-01.txt</t>
  </si>
  <si>
    <t>2-qubits-2-depth-03.txt</t>
  </si>
  <si>
    <t>2-qubits-2-depth-04.txt</t>
  </si>
  <si>
    <t>2-qubits-2-depth-05.txt</t>
  </si>
  <si>
    <t>3-qubits-6-depth-03.txt</t>
  </si>
  <si>
    <t>3-qubits-6-depth-04.txt</t>
  </si>
  <si>
    <t>3-qubits-6-depth-05.txt</t>
  </si>
  <si>
    <t>x</t>
  </si>
  <si>
    <t>4-qubits-10-depth-03.txt</t>
  </si>
  <si>
    <t>4-qubits-10-depth-04.txt</t>
  </si>
  <si>
    <t>4-qubits-10-depth-05.txt</t>
  </si>
  <si>
    <t>6-qubits-3-depth-05.txt</t>
  </si>
  <si>
    <t>6-qubits-3-depth-04.txt</t>
  </si>
  <si>
    <t>6-qubits-3-depth-03.txt</t>
  </si>
  <si>
    <t>6-qubits-6-depth-05.txt</t>
  </si>
  <si>
    <t>6-qubits-6-depth-04.txt</t>
  </si>
  <si>
    <t>6-qubits-10-depth-03.txt</t>
  </si>
  <si>
    <t>6-qubits-10-depth-04.txt</t>
  </si>
  <si>
    <t>6-qubits-10-depth-05.txt</t>
  </si>
  <si>
    <t>6-qubits-14-depth-03.txt</t>
  </si>
  <si>
    <t>6-qubits-14-depth-04.txt</t>
  </si>
  <si>
    <t>6-qubits-14-depth-05.txt</t>
  </si>
  <si>
    <t>6-qubits-16-depth-03.txt</t>
  </si>
  <si>
    <t>6-qubits-16-depth-04.txt</t>
  </si>
  <si>
    <t>6-qubits-16-depth-05.txt</t>
  </si>
  <si>
    <t>8-qubits-8-depth-03.txt</t>
  </si>
  <si>
    <t>8-qubits-8-depth-04.txt</t>
  </si>
  <si>
    <t>8-qubits-8-depth-05.txt</t>
  </si>
  <si>
    <t>8-qubits-6-depth-03.txt</t>
  </si>
  <si>
    <t>8-qubits-6-depth-04.txt</t>
  </si>
  <si>
    <t>8-qubits-6-depth-05.txt</t>
  </si>
  <si>
    <t>8-qubits-4-depth-02.txt</t>
  </si>
  <si>
    <t>8-qubits-4-depth-03.txt</t>
  </si>
  <si>
    <t>8-qubits-4-depth-04.txt</t>
  </si>
  <si>
    <t>8-qubits-4-depth-05.txt</t>
  </si>
  <si>
    <t>8-qubits-2-depth-03.txt</t>
  </si>
  <si>
    <t>8-qubits-2-depth-04.txt</t>
  </si>
  <si>
    <t>8-qubits-2-depth-05.txt</t>
  </si>
  <si>
    <t>8-qubits-10-depth-03.txt</t>
  </si>
  <si>
    <t>qft5-04.txt</t>
  </si>
  <si>
    <t>qft5-05.txt</t>
  </si>
  <si>
    <t>aa5-02.txt</t>
  </si>
  <si>
    <t>aa5-03.txt</t>
  </si>
  <si>
    <t>aa5-04.txt</t>
  </si>
  <si>
    <t>aa5-05.txt</t>
  </si>
  <si>
    <t>qec_en_n5-02.txt</t>
  </si>
  <si>
    <t>qec_en_n5-03.txt</t>
  </si>
  <si>
    <t>qec_en_n5-04.txt</t>
  </si>
  <si>
    <t>qec_en_n5-05.txt</t>
  </si>
  <si>
    <t>Ist 3x fehlgeschlagen</t>
  </si>
  <si>
    <t>X</t>
  </si>
  <si>
    <t>8-qubits-10-depth-04.txt</t>
  </si>
  <si>
    <t>8-qubits-10-depth-05.txt</t>
  </si>
  <si>
    <t>8-qubits-12-depth-03.txt</t>
  </si>
  <si>
    <t>8-qubits-12-depth-04.txt</t>
  </si>
  <si>
    <t>8-qubits-12-depth-05.txt</t>
  </si>
  <si>
    <t>8-qubits-14-depth-03.txt</t>
  </si>
  <si>
    <t>8-qubits-14-depth-04.txt</t>
  </si>
  <si>
    <t>8-qubits-14-depth-05.txt</t>
  </si>
  <si>
    <t>MAX</t>
  </si>
  <si>
    <t>AVG</t>
  </si>
  <si>
    <t>clifford_n5_l10_0-1.txt</t>
  </si>
  <si>
    <t>clifford_n8_l22_0-1.txt</t>
  </si>
  <si>
    <t>clifford_n10_l55_0-1.txt</t>
  </si>
  <si>
    <t>universal_n5_l10_0-1.txt</t>
  </si>
  <si>
    <t>universal_n8_l16_0-1.txt</t>
  </si>
  <si>
    <t>universal_n10_l14_0-1.txt</t>
  </si>
  <si>
    <t>qft8-1.txt</t>
  </si>
  <si>
    <t>12-qubits-6-depth-03.txt</t>
  </si>
  <si>
    <t>12-qubits-6-depth-04.txt</t>
  </si>
  <si>
    <t>12-qubits-6-depth-05.txt</t>
  </si>
  <si>
    <t>12-qubits-4-depth-03.txt</t>
  </si>
  <si>
    <t>12-qubits-4-depth-04.txt</t>
  </si>
  <si>
    <t>12-qubits-4-depth-05.txt</t>
  </si>
  <si>
    <t>12-qubits-2-depth-03.txt</t>
  </si>
  <si>
    <t>12-qubits-2-depth-04.txt</t>
  </si>
  <si>
    <t>12-qubits-2-depth-05.txt</t>
  </si>
  <si>
    <t>10-qubits-4-depth-03.txt</t>
  </si>
  <si>
    <t>10-qubits-4-depth-04.txt</t>
  </si>
  <si>
    <t>10-qubits-4-depth-05.txt</t>
  </si>
  <si>
    <t>Q-clifford_n5_l10_0-1.txt</t>
  </si>
  <si>
    <t>Q-clifford_n5_l10_0-2.txt</t>
  </si>
  <si>
    <t>Q-clifford_n5_l10_0-3.txt</t>
  </si>
  <si>
    <t>Q-clifford_n5_l10_0-4.txt</t>
  </si>
  <si>
    <t>Q-clifford_n5_l10_0-5.txt</t>
  </si>
  <si>
    <t>Q-clifford_n8_l22_0-1.txt</t>
  </si>
  <si>
    <t>Q-clifford_n10_l55_0-1.txt</t>
  </si>
  <si>
    <t>Q-clifford_n8_l22_0-2.txt</t>
  </si>
  <si>
    <t>Q-clifford_n8_l22_0-3.txt</t>
  </si>
  <si>
    <t>Q-clifford_n8_l22_0-4.txt</t>
  </si>
  <si>
    <t>Q-clifford_n8_l22_0-5.txt</t>
  </si>
  <si>
    <t>Q-clifford_n10_l55_0-2.txt</t>
  </si>
  <si>
    <t>Q-clifford_n10_l55_0-3.txt</t>
  </si>
  <si>
    <t>Q-clifford_n10_l55_0-4.txt</t>
  </si>
  <si>
    <t>Q-clifford_n10_l55_0-5.txt</t>
  </si>
  <si>
    <t>Q-universal_n8_l16_0-1.txt</t>
  </si>
  <si>
    <t>Q-universal_n5_l10_0-1.txt</t>
  </si>
  <si>
    <t>Q-universal_n5_l10_0-2.txt</t>
  </si>
  <si>
    <t>Q-universal_n5_l10_0-3.txt</t>
  </si>
  <si>
    <t>Q-universal_n5_l10_0-4.txt</t>
  </si>
  <si>
    <t>Q-universal_n5_l10_0-5.txt</t>
  </si>
  <si>
    <t>Q-universal_n8_l16_0-2.txt</t>
  </si>
  <si>
    <t>Q-universal_n8_l16_0-3.txt</t>
  </si>
  <si>
    <t>Q-universal_n8_l16_0-4.txt</t>
  </si>
  <si>
    <t>Q-universal_n8_l16_0-5.txt</t>
  </si>
  <si>
    <t>Q-universal_n10_l14_0-1.txt</t>
  </si>
  <si>
    <t>Q-universal_n10_l14_0-2.txt</t>
  </si>
  <si>
    <t>Q-universal_n10_l14_0-3.txt</t>
  </si>
  <si>
    <t>Q-universal_n10_l14_0-4.txt</t>
  </si>
  <si>
    <t>Q-universal_n10_l14_0-5.txt</t>
  </si>
  <si>
    <t>qft8-01.txt</t>
  </si>
  <si>
    <t>qft8-02.txt</t>
  </si>
  <si>
    <t>qft8-03.txt</t>
  </si>
  <si>
    <t>qft8-04.txt</t>
  </si>
  <si>
    <t>qft8-05.txt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</si>
</sst>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0A51-DD9D-4F5F-AFC3-BF757FA9BF79}">
  <dimension ref="A1:Q55"/>
  <sheetViews>
    <sheetView workbookViewId="0">
      <pane ySplit="2" topLeftCell="A36" activePane="bottomLeft" state="frozen"/>
      <selection pane="bottomLeft" activeCell="B50" sqref="B50:C50"/>
    </sheetView>
  </sheetViews>
  <sheetFormatPr defaultRowHeight="14.4" x14ac:dyDescent="0.3"/>
  <cols>
    <col min="1" max="1" width="21.77734375" style="1" bestFit="1" customWidth="1"/>
    <col min="2" max="2" width="11.77734375" style="2" bestFit="1" customWidth="1"/>
    <col min="3" max="3" width="8.88671875" style="2"/>
    <col min="4" max="4" width="4.88671875" bestFit="1" customWidth="1"/>
    <col min="5" max="6" width="6.6640625" bestFit="1" customWidth="1"/>
    <col min="7" max="7" width="6.33203125" style="2" bestFit="1" customWidth="1"/>
    <col min="8" max="8" width="4.88671875" bestFit="1" customWidth="1"/>
    <col min="9" max="10" width="6.6640625" bestFit="1" customWidth="1"/>
    <col min="11" max="11" width="6.6640625" customWidth="1"/>
    <col min="12" max="12" width="8.88671875" style="2"/>
    <col min="13" max="17" width="9.77734375" style="2" bestFit="1" customWidth="1"/>
  </cols>
  <sheetData>
    <row r="1" spans="1:17" x14ac:dyDescent="0.3">
      <c r="D1" s="4" t="s">
        <v>29</v>
      </c>
      <c r="E1" s="4"/>
      <c r="F1" s="4"/>
      <c r="H1" s="5" t="s">
        <v>33</v>
      </c>
      <c r="I1" s="4"/>
      <c r="J1" s="4"/>
      <c r="K1" s="6"/>
    </row>
    <row r="2" spans="1:17" x14ac:dyDescent="0.3">
      <c r="A2" s="1" t="s">
        <v>0</v>
      </c>
      <c r="B2" s="2" t="s">
        <v>1</v>
      </c>
      <c r="C2" s="2" t="s">
        <v>2</v>
      </c>
      <c r="D2" t="s">
        <v>30</v>
      </c>
      <c r="E2" t="s">
        <v>31</v>
      </c>
      <c r="F2" t="s">
        <v>32</v>
      </c>
      <c r="G2" s="2" t="s">
        <v>5</v>
      </c>
      <c r="H2" t="s">
        <v>30</v>
      </c>
      <c r="I2" t="s">
        <v>31</v>
      </c>
      <c r="J2" t="s">
        <v>32</v>
      </c>
      <c r="K2" t="s">
        <v>34</v>
      </c>
      <c r="L2" s="2" t="s">
        <v>6</v>
      </c>
      <c r="M2" s="2" t="s">
        <v>13</v>
      </c>
      <c r="N2" s="2" t="s">
        <v>14</v>
      </c>
      <c r="O2" s="2" t="s">
        <v>18</v>
      </c>
      <c r="P2" s="2" t="s">
        <v>19</v>
      </c>
      <c r="Q2" s="2" t="s">
        <v>20</v>
      </c>
    </row>
    <row r="3" spans="1:17" x14ac:dyDescent="0.3">
      <c r="A3" s="1" t="s">
        <v>4</v>
      </c>
      <c r="B3" s="2">
        <v>2</v>
      </c>
      <c r="C3" s="2">
        <v>2</v>
      </c>
      <c r="G3" s="2">
        <v>0</v>
      </c>
      <c r="L3" s="2">
        <v>1</v>
      </c>
    </row>
    <row r="4" spans="1:17" x14ac:dyDescent="0.3">
      <c r="A4" s="1" t="s">
        <v>3</v>
      </c>
      <c r="B4" s="2">
        <v>2</v>
      </c>
      <c r="C4" s="2">
        <v>2</v>
      </c>
      <c r="G4" s="2">
        <v>0</v>
      </c>
      <c r="L4" s="2">
        <v>1</v>
      </c>
    </row>
    <row r="5" spans="1:17" x14ac:dyDescent="0.3">
      <c r="A5" s="1" t="s">
        <v>8</v>
      </c>
      <c r="B5" s="2">
        <v>3</v>
      </c>
      <c r="C5" s="2">
        <v>6</v>
      </c>
      <c r="G5" s="2">
        <v>0</v>
      </c>
      <c r="L5" s="2">
        <v>1</v>
      </c>
    </row>
    <row r="6" spans="1:17" x14ac:dyDescent="0.3">
      <c r="A6" s="1" t="s">
        <v>7</v>
      </c>
      <c r="B6" s="2">
        <v>3</v>
      </c>
      <c r="C6" s="2">
        <v>6</v>
      </c>
      <c r="G6" s="2">
        <v>0</v>
      </c>
      <c r="L6" s="2">
        <v>1</v>
      </c>
    </row>
    <row r="7" spans="1:17" x14ac:dyDescent="0.3">
      <c r="A7" s="1" t="s">
        <v>22</v>
      </c>
      <c r="B7" s="2">
        <v>4</v>
      </c>
      <c r="C7" s="2">
        <v>10</v>
      </c>
      <c r="G7" s="2">
        <v>0</v>
      </c>
      <c r="L7" s="2">
        <v>1</v>
      </c>
    </row>
    <row r="8" spans="1:17" x14ac:dyDescent="0.3">
      <c r="A8" s="1" t="s">
        <v>23</v>
      </c>
      <c r="B8" s="2">
        <v>4</v>
      </c>
      <c r="C8" s="2">
        <v>10</v>
      </c>
      <c r="G8" s="2">
        <v>0</v>
      </c>
      <c r="L8" s="2">
        <v>1</v>
      </c>
    </row>
    <row r="9" spans="1:17" x14ac:dyDescent="0.3">
      <c r="A9" s="1" t="s">
        <v>10</v>
      </c>
      <c r="B9" s="2">
        <v>6</v>
      </c>
      <c r="C9" s="2">
        <v>3</v>
      </c>
      <c r="G9" s="2">
        <v>0</v>
      </c>
      <c r="L9" s="2">
        <v>1</v>
      </c>
    </row>
    <row r="10" spans="1:17" x14ac:dyDescent="0.3">
      <c r="A10" s="1" t="s">
        <v>9</v>
      </c>
      <c r="B10" s="2">
        <v>6</v>
      </c>
      <c r="C10" s="2">
        <v>3</v>
      </c>
      <c r="G10" s="2">
        <v>0</v>
      </c>
      <c r="L10" s="2">
        <v>1</v>
      </c>
    </row>
    <row r="11" spans="1:17" x14ac:dyDescent="0.3">
      <c r="A11" s="1" t="s">
        <v>11</v>
      </c>
      <c r="B11" s="2">
        <v>6</v>
      </c>
      <c r="C11" s="2">
        <v>6</v>
      </c>
      <c r="G11" s="2">
        <v>1</v>
      </c>
      <c r="L11" s="2">
        <v>0.99939999999999996</v>
      </c>
      <c r="M11" s="2">
        <v>0.67410000000000003</v>
      </c>
    </row>
    <row r="12" spans="1:17" x14ac:dyDescent="0.3">
      <c r="A12" s="1" t="s">
        <v>12</v>
      </c>
      <c r="B12" s="2">
        <v>6</v>
      </c>
      <c r="C12" s="2">
        <v>6</v>
      </c>
      <c r="G12" s="2">
        <v>2</v>
      </c>
      <c r="L12" s="2">
        <v>0.99919999999999998</v>
      </c>
      <c r="M12" s="2">
        <v>0.3276</v>
      </c>
      <c r="N12" s="2">
        <v>0.3276</v>
      </c>
    </row>
    <row r="13" spans="1:17" x14ac:dyDescent="0.3">
      <c r="A13" s="1" t="s">
        <v>15</v>
      </c>
      <c r="B13" s="2">
        <v>6</v>
      </c>
      <c r="C13" s="2">
        <v>6</v>
      </c>
      <c r="G13" s="2">
        <v>2</v>
      </c>
      <c r="L13" s="2">
        <v>1</v>
      </c>
      <c r="M13" s="2">
        <v>0.83560000000000001</v>
      </c>
      <c r="N13" s="2">
        <v>3.9E-2</v>
      </c>
    </row>
    <row r="14" spans="1:17" x14ac:dyDescent="0.3">
      <c r="A14" s="1" t="s">
        <v>24</v>
      </c>
      <c r="B14" s="2">
        <v>6</v>
      </c>
      <c r="C14" s="2">
        <v>10</v>
      </c>
      <c r="G14" s="2">
        <v>1</v>
      </c>
      <c r="L14" s="2">
        <v>1</v>
      </c>
      <c r="M14" s="2">
        <v>1.9E-3</v>
      </c>
    </row>
    <row r="15" spans="1:17" x14ac:dyDescent="0.3">
      <c r="A15" s="1" t="s">
        <v>25</v>
      </c>
      <c r="B15" s="2">
        <v>6</v>
      </c>
      <c r="C15" s="2">
        <v>10</v>
      </c>
      <c r="G15" s="2">
        <v>0</v>
      </c>
      <c r="L15" s="2">
        <v>0.99</v>
      </c>
    </row>
    <row r="16" spans="1:17" x14ac:dyDescent="0.3">
      <c r="A16" s="1" t="s">
        <v>26</v>
      </c>
      <c r="B16" s="2">
        <v>6</v>
      </c>
      <c r="C16" s="2">
        <v>14</v>
      </c>
      <c r="G16" s="2">
        <v>3</v>
      </c>
      <c r="L16" s="2">
        <v>0.94099999999999995</v>
      </c>
      <c r="M16" s="2">
        <v>0.31680000000000003</v>
      </c>
      <c r="N16" s="2">
        <v>0.21540000000000001</v>
      </c>
      <c r="O16" s="2">
        <v>2.1299999999999999E-2</v>
      </c>
    </row>
    <row r="17" spans="1:17" x14ac:dyDescent="0.3">
      <c r="A17" s="1" t="s">
        <v>27</v>
      </c>
      <c r="B17" s="2">
        <v>6</v>
      </c>
      <c r="C17" s="2">
        <v>14</v>
      </c>
      <c r="G17" s="2">
        <v>0</v>
      </c>
      <c r="L17" s="2">
        <v>1</v>
      </c>
    </row>
    <row r="18" spans="1:17" x14ac:dyDescent="0.3">
      <c r="A18" s="1" t="s">
        <v>52</v>
      </c>
      <c r="B18" s="2">
        <v>6</v>
      </c>
      <c r="C18" s="2">
        <v>16</v>
      </c>
      <c r="D18">
        <v>50</v>
      </c>
      <c r="E18">
        <v>5</v>
      </c>
      <c r="F18">
        <v>45</v>
      </c>
      <c r="G18" s="2">
        <v>0</v>
      </c>
      <c r="H18">
        <v>232</v>
      </c>
      <c r="I18">
        <v>86</v>
      </c>
      <c r="J18">
        <v>106</v>
      </c>
      <c r="K18">
        <f t="shared" ref="K18:K19" si="0">H18-I18-J18</f>
        <v>40</v>
      </c>
      <c r="L18" s="2">
        <v>1</v>
      </c>
    </row>
    <row r="19" spans="1:17" x14ac:dyDescent="0.3">
      <c r="A19" s="1" t="s">
        <v>53</v>
      </c>
      <c r="B19" s="2">
        <v>6</v>
      </c>
      <c r="C19" s="2">
        <v>16</v>
      </c>
      <c r="D19">
        <v>51</v>
      </c>
      <c r="E19">
        <v>14</v>
      </c>
      <c r="F19">
        <v>37</v>
      </c>
      <c r="G19" s="2">
        <v>5</v>
      </c>
      <c r="H19">
        <v>1409</v>
      </c>
      <c r="I19">
        <v>829</v>
      </c>
      <c r="J19">
        <v>540</v>
      </c>
      <c r="K19">
        <f t="shared" si="0"/>
        <v>40</v>
      </c>
      <c r="L19" s="2">
        <v>5.7000000000000002E-3</v>
      </c>
      <c r="M19">
        <v>1.9E-3</v>
      </c>
      <c r="N19" s="2">
        <v>1.5800000000000002E-2</v>
      </c>
      <c r="O19" s="2">
        <v>0.85089999999999999</v>
      </c>
      <c r="P19" s="2">
        <v>0.86270000000000002</v>
      </c>
      <c r="Q19" s="2">
        <v>4.0800000000000003E-2</v>
      </c>
    </row>
    <row r="20" spans="1:17" x14ac:dyDescent="0.3">
      <c r="A20" s="1" t="s">
        <v>45</v>
      </c>
      <c r="B20" s="2">
        <v>8</v>
      </c>
      <c r="C20" s="2">
        <v>2</v>
      </c>
      <c r="D20">
        <v>8</v>
      </c>
      <c r="E20">
        <v>0</v>
      </c>
      <c r="F20">
        <v>8</v>
      </c>
      <c r="G20" s="2">
        <v>0</v>
      </c>
      <c r="H20">
        <v>1</v>
      </c>
      <c r="I20">
        <v>1</v>
      </c>
      <c r="J20">
        <v>0</v>
      </c>
      <c r="K20">
        <f>H20-I20-J20</f>
        <v>0</v>
      </c>
      <c r="L20" s="2">
        <v>1</v>
      </c>
    </row>
    <row r="21" spans="1:17" x14ac:dyDescent="0.3">
      <c r="A21" s="1" t="s">
        <v>44</v>
      </c>
      <c r="B21" s="2">
        <v>8</v>
      </c>
      <c r="C21" s="2">
        <v>2</v>
      </c>
      <c r="D21">
        <v>11</v>
      </c>
      <c r="E21">
        <v>6</v>
      </c>
      <c r="F21">
        <v>5</v>
      </c>
      <c r="G21" s="2">
        <v>0</v>
      </c>
      <c r="H21">
        <v>5</v>
      </c>
      <c r="I21">
        <v>5</v>
      </c>
      <c r="J21">
        <v>0</v>
      </c>
      <c r="K21">
        <f>H21-I21-J21</f>
        <v>0</v>
      </c>
      <c r="L21" s="2">
        <v>1</v>
      </c>
    </row>
    <row r="22" spans="1:17" x14ac:dyDescent="0.3">
      <c r="A22" s="1" t="s">
        <v>16</v>
      </c>
      <c r="B22" s="2">
        <v>8</v>
      </c>
      <c r="C22" s="2">
        <v>4</v>
      </c>
      <c r="G22" s="2">
        <v>0</v>
      </c>
      <c r="L22" s="2">
        <v>1</v>
      </c>
    </row>
    <row r="23" spans="1:17" x14ac:dyDescent="0.3">
      <c r="A23" s="1" t="s">
        <v>89</v>
      </c>
      <c r="B23" s="2">
        <v>8</v>
      </c>
      <c r="C23" s="2">
        <v>4</v>
      </c>
      <c r="G23" s="2">
        <v>2</v>
      </c>
      <c r="L23" s="2">
        <v>1</v>
      </c>
      <c r="M23" s="2">
        <v>0.62129999999999996</v>
      </c>
      <c r="N23" s="2">
        <v>0.59650000000000003</v>
      </c>
    </row>
    <row r="24" spans="1:17" x14ac:dyDescent="0.3">
      <c r="A24" s="1" t="s">
        <v>43</v>
      </c>
      <c r="B24" s="2">
        <v>8</v>
      </c>
      <c r="C24" s="2">
        <v>6</v>
      </c>
      <c r="D24">
        <v>26</v>
      </c>
      <c r="E24">
        <v>4</v>
      </c>
      <c r="F24">
        <v>22</v>
      </c>
      <c r="G24" s="2">
        <v>1</v>
      </c>
      <c r="H24">
        <v>46</v>
      </c>
      <c r="I24">
        <v>23</v>
      </c>
      <c r="J24">
        <v>13</v>
      </c>
      <c r="K24">
        <f t="shared" ref="K24:K33" si="1">H24-I24-J24</f>
        <v>10</v>
      </c>
      <c r="L24" s="2">
        <v>0.99870000000000003</v>
      </c>
      <c r="M24" s="2">
        <v>0.23949999999999999</v>
      </c>
    </row>
    <row r="25" spans="1:17" x14ac:dyDescent="0.3">
      <c r="A25" s="1" t="s">
        <v>42</v>
      </c>
      <c r="B25" s="2">
        <v>8</v>
      </c>
      <c r="C25" s="2">
        <v>6</v>
      </c>
      <c r="D25">
        <v>30</v>
      </c>
      <c r="E25">
        <v>12</v>
      </c>
      <c r="F25">
        <v>18</v>
      </c>
      <c r="G25" s="2">
        <v>5</v>
      </c>
      <c r="H25">
        <v>34</v>
      </c>
      <c r="I25">
        <v>19</v>
      </c>
      <c r="J25">
        <v>9</v>
      </c>
      <c r="K25">
        <f t="shared" si="1"/>
        <v>6</v>
      </c>
      <c r="L25" s="2">
        <v>0.62339999999999995</v>
      </c>
      <c r="M25" s="2">
        <v>0.64549999999999996</v>
      </c>
      <c r="N25" s="2">
        <v>0.46910000000000002</v>
      </c>
      <c r="O25" s="2">
        <v>5.2600000000000001E-2</v>
      </c>
      <c r="P25" s="2">
        <v>0.20069999999999999</v>
      </c>
      <c r="Q25" s="2">
        <v>0.1837</v>
      </c>
    </row>
    <row r="26" spans="1:17" x14ac:dyDescent="0.3">
      <c r="A26" s="1" t="s">
        <v>41</v>
      </c>
      <c r="B26" s="2">
        <v>8</v>
      </c>
      <c r="C26" s="2">
        <v>8</v>
      </c>
      <c r="D26">
        <v>34</v>
      </c>
      <c r="E26">
        <v>5</v>
      </c>
      <c r="F26">
        <v>29</v>
      </c>
      <c r="G26" s="2">
        <v>0</v>
      </c>
      <c r="H26">
        <v>20</v>
      </c>
      <c r="I26">
        <v>10</v>
      </c>
      <c r="J26">
        <v>10</v>
      </c>
      <c r="K26">
        <f t="shared" si="1"/>
        <v>0</v>
      </c>
      <c r="L26" s="2">
        <v>0.94240000000000002</v>
      </c>
    </row>
    <row r="27" spans="1:17" x14ac:dyDescent="0.3">
      <c r="A27" s="1" t="s">
        <v>40</v>
      </c>
      <c r="B27" s="2">
        <v>8</v>
      </c>
      <c r="C27" s="2">
        <v>8</v>
      </c>
      <c r="D27">
        <v>50</v>
      </c>
      <c r="E27">
        <v>37</v>
      </c>
      <c r="F27">
        <v>13</v>
      </c>
      <c r="G27" s="2">
        <v>5</v>
      </c>
      <c r="H27">
        <v>218</v>
      </c>
      <c r="I27">
        <v>174</v>
      </c>
      <c r="J27">
        <v>26</v>
      </c>
      <c r="K27">
        <f t="shared" si="1"/>
        <v>18</v>
      </c>
      <c r="L27" s="2">
        <v>0.73670000000000002</v>
      </c>
      <c r="M27" s="2">
        <v>0.65469999999999995</v>
      </c>
      <c r="N27" s="2">
        <v>0.62990000000000002</v>
      </c>
      <c r="O27" s="2">
        <v>0.50870000000000004</v>
      </c>
      <c r="P27" s="2">
        <v>0.58069999999999999</v>
      </c>
      <c r="Q27" s="2">
        <v>7.1000000000000004E-3</v>
      </c>
    </row>
    <row r="28" spans="1:17" x14ac:dyDescent="0.3">
      <c r="A28" s="1" t="s">
        <v>39</v>
      </c>
      <c r="B28" s="2">
        <v>8</v>
      </c>
      <c r="C28" s="2">
        <v>10</v>
      </c>
      <c r="D28">
        <v>75</v>
      </c>
      <c r="E28">
        <v>71</v>
      </c>
      <c r="F28">
        <v>4</v>
      </c>
      <c r="G28" s="2">
        <v>2</v>
      </c>
      <c r="H28">
        <v>10</v>
      </c>
      <c r="I28">
        <v>8</v>
      </c>
      <c r="J28">
        <v>2</v>
      </c>
      <c r="K28">
        <f t="shared" si="1"/>
        <v>0</v>
      </c>
      <c r="L28" s="2">
        <v>0.99270000000000003</v>
      </c>
      <c r="M28" s="2">
        <v>0.2571</v>
      </c>
      <c r="N28" s="2">
        <v>0.56620000000000004</v>
      </c>
    </row>
    <row r="29" spans="1:17" x14ac:dyDescent="0.3">
      <c r="A29" s="1" t="s">
        <v>38</v>
      </c>
      <c r="B29" s="2">
        <v>8</v>
      </c>
      <c r="C29" s="2">
        <v>10</v>
      </c>
      <c r="D29">
        <v>41</v>
      </c>
      <c r="E29">
        <v>5</v>
      </c>
      <c r="F29">
        <v>36</v>
      </c>
      <c r="G29" s="2">
        <v>0</v>
      </c>
      <c r="H29">
        <v>34</v>
      </c>
      <c r="I29">
        <v>21</v>
      </c>
      <c r="J29">
        <v>4</v>
      </c>
      <c r="K29">
        <f t="shared" si="1"/>
        <v>9</v>
      </c>
      <c r="L29" s="2">
        <v>0.97009999999999996</v>
      </c>
    </row>
    <row r="30" spans="1:17" x14ac:dyDescent="0.3">
      <c r="A30" s="1" t="s">
        <v>37</v>
      </c>
      <c r="B30" s="2">
        <v>8</v>
      </c>
      <c r="C30" s="2">
        <v>12</v>
      </c>
      <c r="D30">
        <v>53</v>
      </c>
      <c r="E30">
        <v>14</v>
      </c>
      <c r="F30">
        <v>39</v>
      </c>
      <c r="G30" s="2">
        <v>5</v>
      </c>
      <c r="H30">
        <v>319</v>
      </c>
      <c r="I30">
        <v>157</v>
      </c>
      <c r="J30">
        <v>106</v>
      </c>
      <c r="K30">
        <f t="shared" si="1"/>
        <v>56</v>
      </c>
      <c r="L30" s="2">
        <v>0.23019999999999999</v>
      </c>
      <c r="M30" s="2">
        <v>0.18920000000000001</v>
      </c>
      <c r="N30" s="2">
        <v>9.8900000000000002E-2</v>
      </c>
      <c r="O30" s="2">
        <v>8.72E-2</v>
      </c>
      <c r="P30" s="2">
        <v>6.9999999999999999E-4</v>
      </c>
      <c r="Q30" s="2">
        <v>1.4E-3</v>
      </c>
    </row>
    <row r="31" spans="1:17" x14ac:dyDescent="0.3">
      <c r="A31" s="1" t="s">
        <v>36</v>
      </c>
      <c r="B31" s="2">
        <v>8</v>
      </c>
      <c r="C31" s="2">
        <v>12</v>
      </c>
      <c r="D31">
        <v>48</v>
      </c>
      <c r="E31">
        <v>2</v>
      </c>
      <c r="F31">
        <v>46</v>
      </c>
      <c r="G31" s="2">
        <v>5</v>
      </c>
      <c r="H31">
        <v>1818</v>
      </c>
      <c r="I31">
        <v>1148</v>
      </c>
      <c r="J31">
        <v>649</v>
      </c>
      <c r="K31">
        <f t="shared" si="1"/>
        <v>21</v>
      </c>
      <c r="L31" s="2">
        <v>0.78600000000000003</v>
      </c>
      <c r="M31" s="2">
        <v>0.49819999999999998</v>
      </c>
      <c r="N31" s="2">
        <v>0.8367</v>
      </c>
      <c r="O31" s="2">
        <v>0.1124</v>
      </c>
      <c r="P31" s="2">
        <v>0.8367</v>
      </c>
      <c r="Q31" s="2">
        <v>0.71489999999999998</v>
      </c>
    </row>
    <row r="32" spans="1:17" x14ac:dyDescent="0.3">
      <c r="A32" s="1" t="s">
        <v>35</v>
      </c>
      <c r="B32" s="2">
        <v>8</v>
      </c>
      <c r="C32" s="2">
        <v>14</v>
      </c>
      <c r="D32">
        <v>67</v>
      </c>
      <c r="E32">
        <v>26</v>
      </c>
      <c r="F32">
        <v>41</v>
      </c>
      <c r="G32" s="2">
        <v>5</v>
      </c>
      <c r="H32">
        <v>85</v>
      </c>
      <c r="I32">
        <v>46</v>
      </c>
      <c r="J32">
        <v>39</v>
      </c>
      <c r="K32">
        <f t="shared" si="1"/>
        <v>0</v>
      </c>
      <c r="L32" s="2">
        <v>2.9999999999999997E-4</v>
      </c>
      <c r="M32" s="2">
        <v>0.30780000000000002</v>
      </c>
      <c r="N32" s="2">
        <v>0.16350000000000001</v>
      </c>
      <c r="O32" s="2">
        <v>0.1094</v>
      </c>
      <c r="P32" s="2">
        <v>1.04E-2</v>
      </c>
      <c r="Q32" s="2">
        <v>1.2E-2</v>
      </c>
    </row>
    <row r="33" spans="1:17" x14ac:dyDescent="0.3">
      <c r="A33" s="1" t="s">
        <v>28</v>
      </c>
      <c r="B33" s="2">
        <v>8</v>
      </c>
      <c r="C33" s="2">
        <v>14</v>
      </c>
      <c r="D33">
        <v>86</v>
      </c>
      <c r="E33">
        <v>65</v>
      </c>
      <c r="F33">
        <v>21</v>
      </c>
      <c r="G33" s="2">
        <v>5</v>
      </c>
      <c r="H33">
        <v>107</v>
      </c>
      <c r="I33">
        <v>39</v>
      </c>
      <c r="J33">
        <v>28</v>
      </c>
      <c r="K33">
        <f t="shared" si="1"/>
        <v>40</v>
      </c>
      <c r="L33" s="2">
        <v>0.22209999999999999</v>
      </c>
      <c r="M33" s="2">
        <v>0.19980000000000001</v>
      </c>
      <c r="N33" s="2">
        <v>0.21290000000000001</v>
      </c>
      <c r="O33" s="2">
        <v>0.22209999999999999</v>
      </c>
      <c r="P33" s="2">
        <v>0.16020000000000001</v>
      </c>
      <c r="Q33" s="2">
        <v>2.8E-3</v>
      </c>
    </row>
    <row r="34" spans="1:17" x14ac:dyDescent="0.3">
      <c r="A34" s="1" t="s">
        <v>17</v>
      </c>
      <c r="B34" s="2">
        <v>10</v>
      </c>
      <c r="C34" s="2">
        <v>4</v>
      </c>
      <c r="G34" s="2">
        <v>5</v>
      </c>
      <c r="L34" s="2">
        <v>3.6900000000000002E-2</v>
      </c>
      <c r="M34" s="2">
        <v>7.1300000000000002E-2</v>
      </c>
      <c r="N34" s="2">
        <v>3.2500000000000001E-2</v>
      </c>
      <c r="O34" s="2">
        <v>0.18959999999999999</v>
      </c>
      <c r="P34" s="2">
        <v>0.18959999999999999</v>
      </c>
      <c r="Q34" s="2">
        <v>0.18959999999999999</v>
      </c>
    </row>
    <row r="35" spans="1:17" x14ac:dyDescent="0.3">
      <c r="A35" s="1" t="s">
        <v>21</v>
      </c>
      <c r="B35" s="2">
        <v>10</v>
      </c>
      <c r="C35" s="2">
        <v>4</v>
      </c>
      <c r="G35" s="2">
        <v>5</v>
      </c>
      <c r="L35" s="2">
        <v>0.2341</v>
      </c>
      <c r="M35" s="2">
        <v>3.5700000000000003E-2</v>
      </c>
      <c r="N35" s="2">
        <v>5.0599999999999999E-2</v>
      </c>
      <c r="O35" s="2">
        <v>0.2341</v>
      </c>
      <c r="P35" s="2">
        <v>5.2299999999999999E-2</v>
      </c>
      <c r="Q35" s="2">
        <v>2.0299999999999999E-2</v>
      </c>
    </row>
    <row r="36" spans="1:17" x14ac:dyDescent="0.3">
      <c r="A36" s="1" t="s">
        <v>51</v>
      </c>
      <c r="B36" s="2">
        <v>12</v>
      </c>
      <c r="C36" s="2">
        <v>2</v>
      </c>
      <c r="D36">
        <v>18</v>
      </c>
      <c r="E36">
        <v>12</v>
      </c>
      <c r="F36">
        <v>6</v>
      </c>
      <c r="G36" s="2">
        <v>5</v>
      </c>
      <c r="H36">
        <v>19</v>
      </c>
      <c r="I36">
        <v>16</v>
      </c>
      <c r="J36">
        <v>3</v>
      </c>
      <c r="K36">
        <f t="shared" ref="K36:K41" si="2">H36-I36-J36</f>
        <v>0</v>
      </c>
      <c r="L36" s="2">
        <v>0.29070000000000001</v>
      </c>
      <c r="M36" s="2">
        <v>2.3199999999999998E-2</v>
      </c>
      <c r="N36" s="2">
        <v>2.3199999999999998E-2</v>
      </c>
      <c r="O36" s="2">
        <v>2.9999999999999997E-4</v>
      </c>
      <c r="P36" s="2">
        <v>2.9999999999999997E-4</v>
      </c>
      <c r="Q36" s="2">
        <v>2.9999999999999997E-4</v>
      </c>
    </row>
    <row r="37" spans="1:17" x14ac:dyDescent="0.3">
      <c r="A37" s="1" t="s">
        <v>50</v>
      </c>
      <c r="B37" s="2">
        <v>12</v>
      </c>
      <c r="C37" s="2">
        <v>2</v>
      </c>
      <c r="D37">
        <v>16</v>
      </c>
      <c r="E37">
        <v>8</v>
      </c>
      <c r="F37">
        <v>8</v>
      </c>
      <c r="G37" s="2">
        <v>3</v>
      </c>
      <c r="H37">
        <v>4</v>
      </c>
      <c r="I37">
        <v>3</v>
      </c>
      <c r="J37">
        <v>1</v>
      </c>
      <c r="K37">
        <f t="shared" si="2"/>
        <v>0</v>
      </c>
      <c r="L37" s="2">
        <v>1</v>
      </c>
      <c r="M37" s="2">
        <v>0.3891</v>
      </c>
      <c r="N37" s="2">
        <v>8.5500000000000007E-2</v>
      </c>
      <c r="O37" s="2">
        <v>0.26719999999999999</v>
      </c>
    </row>
    <row r="38" spans="1:17" x14ac:dyDescent="0.3">
      <c r="A38" s="1" t="s">
        <v>49</v>
      </c>
      <c r="B38" s="2">
        <v>12</v>
      </c>
      <c r="C38" s="2">
        <v>4</v>
      </c>
      <c r="D38">
        <v>45</v>
      </c>
      <c r="E38">
        <v>42</v>
      </c>
      <c r="F38">
        <v>3</v>
      </c>
      <c r="G38" s="2">
        <v>5</v>
      </c>
      <c r="H38">
        <v>9</v>
      </c>
      <c r="I38">
        <v>8</v>
      </c>
      <c r="J38">
        <v>1</v>
      </c>
      <c r="K38">
        <f t="shared" si="2"/>
        <v>0</v>
      </c>
      <c r="L38" s="2">
        <v>1E-4</v>
      </c>
      <c r="M38" s="2">
        <v>2.0000000000000001E-4</v>
      </c>
      <c r="N38" s="2">
        <v>2.0000000000000001E-4</v>
      </c>
      <c r="O38" s="2">
        <v>2.0000000000000001E-4</v>
      </c>
      <c r="P38" s="2">
        <v>2.0000000000000001E-4</v>
      </c>
      <c r="Q38" s="2">
        <v>2.0000000000000001E-4</v>
      </c>
    </row>
    <row r="39" spans="1:17" x14ac:dyDescent="0.3">
      <c r="A39" s="1" t="s">
        <v>48</v>
      </c>
      <c r="B39" s="2">
        <v>12</v>
      </c>
      <c r="C39" s="2">
        <v>4</v>
      </c>
      <c r="D39">
        <v>24</v>
      </c>
      <c r="E39">
        <v>1</v>
      </c>
      <c r="F39">
        <v>23</v>
      </c>
      <c r="G39" s="2">
        <v>5</v>
      </c>
      <c r="H39">
        <v>12</v>
      </c>
      <c r="I39">
        <v>8</v>
      </c>
      <c r="J39">
        <v>3</v>
      </c>
      <c r="K39">
        <f t="shared" si="2"/>
        <v>1</v>
      </c>
      <c r="L39" s="2">
        <v>0.24790000000000001</v>
      </c>
      <c r="M39" s="2">
        <v>0.1283</v>
      </c>
      <c r="N39" s="2">
        <v>0.1459</v>
      </c>
      <c r="O39" s="2">
        <v>1.1999999999999999E-3</v>
      </c>
      <c r="P39" s="2">
        <v>4.3099999999999999E-2</v>
      </c>
      <c r="Q39" s="2">
        <v>0.14599999999999999</v>
      </c>
    </row>
    <row r="40" spans="1:17" x14ac:dyDescent="0.3">
      <c r="A40" s="1" t="s">
        <v>47</v>
      </c>
      <c r="B40" s="2">
        <v>12</v>
      </c>
      <c r="C40" s="2">
        <v>6</v>
      </c>
      <c r="D40">
        <v>49</v>
      </c>
      <c r="E40">
        <v>28</v>
      </c>
      <c r="F40">
        <v>21</v>
      </c>
      <c r="G40" s="2">
        <v>5</v>
      </c>
      <c r="H40">
        <v>12</v>
      </c>
      <c r="I40">
        <v>11</v>
      </c>
      <c r="J40">
        <v>1</v>
      </c>
      <c r="K40">
        <f t="shared" si="2"/>
        <v>0</v>
      </c>
      <c r="L40" s="2">
        <v>2.7000000000000001E-3</v>
      </c>
      <c r="M40" s="2">
        <v>6.0000000000000001E-3</v>
      </c>
      <c r="N40" s="2">
        <v>2.3699999999999999E-2</v>
      </c>
      <c r="O40" s="2">
        <v>3.5000000000000001E-3</v>
      </c>
      <c r="P40" s="2">
        <v>2.8999999999999998E-3</v>
      </c>
      <c r="Q40" s="2">
        <v>1.2999999999999999E-3</v>
      </c>
    </row>
    <row r="41" spans="1:17" x14ac:dyDescent="0.3">
      <c r="A41" s="1" t="s">
        <v>46</v>
      </c>
      <c r="B41" s="2">
        <v>12</v>
      </c>
      <c r="C41" s="2">
        <v>6</v>
      </c>
      <c r="D41">
        <v>51</v>
      </c>
      <c r="E41">
        <v>32</v>
      </c>
      <c r="F41">
        <v>19</v>
      </c>
      <c r="G41" s="2">
        <v>5</v>
      </c>
      <c r="H41">
        <v>13</v>
      </c>
      <c r="I41">
        <v>10</v>
      </c>
      <c r="J41">
        <v>3</v>
      </c>
      <c r="K41">
        <f t="shared" si="2"/>
        <v>0</v>
      </c>
      <c r="L41" s="2">
        <v>5.5999999999999999E-3</v>
      </c>
      <c r="M41" s="2">
        <v>8.0799999999999997E-2</v>
      </c>
      <c r="N41" s="2">
        <v>4.82E-2</v>
      </c>
      <c r="O41" s="2">
        <v>8.1900000000000001E-2</v>
      </c>
      <c r="P41" s="2">
        <v>8.0799999999999997E-2</v>
      </c>
      <c r="Q41" s="2">
        <v>8.2299999999999998E-2</v>
      </c>
    </row>
    <row r="43" spans="1:17" x14ac:dyDescent="0.3">
      <c r="A43" s="1" t="s">
        <v>54</v>
      </c>
      <c r="B43" s="2">
        <v>5</v>
      </c>
      <c r="C43" s="2">
        <v>10</v>
      </c>
      <c r="D43">
        <v>5</v>
      </c>
      <c r="E43">
        <v>12</v>
      </c>
      <c r="F43">
        <v>0</v>
      </c>
      <c r="G43" s="2">
        <v>0</v>
      </c>
      <c r="H43">
        <v>5</v>
      </c>
      <c r="I43">
        <v>5</v>
      </c>
      <c r="J43">
        <v>0</v>
      </c>
      <c r="K43">
        <v>0</v>
      </c>
      <c r="L43" s="2">
        <v>1</v>
      </c>
    </row>
    <row r="44" spans="1:17" x14ac:dyDescent="0.3">
      <c r="A44" s="1" t="s">
        <v>55</v>
      </c>
      <c r="B44" s="2">
        <v>5</v>
      </c>
      <c r="C44" s="2">
        <v>10</v>
      </c>
      <c r="D44">
        <v>5</v>
      </c>
      <c r="E44">
        <v>12</v>
      </c>
      <c r="F44">
        <v>0</v>
      </c>
      <c r="G44" s="2">
        <v>0</v>
      </c>
      <c r="H44">
        <v>5</v>
      </c>
      <c r="I44">
        <v>5</v>
      </c>
      <c r="J44">
        <v>0</v>
      </c>
      <c r="K44">
        <v>0</v>
      </c>
      <c r="L44" s="2">
        <v>1</v>
      </c>
    </row>
    <row r="45" spans="1:17" x14ac:dyDescent="0.3">
      <c r="A45" s="1" t="s">
        <v>56</v>
      </c>
      <c r="B45" s="2">
        <v>5</v>
      </c>
      <c r="C45" s="2">
        <v>10</v>
      </c>
      <c r="D45">
        <v>5</v>
      </c>
      <c r="E45">
        <v>12</v>
      </c>
      <c r="F45">
        <v>0</v>
      </c>
      <c r="G45" s="2">
        <v>0</v>
      </c>
      <c r="H45">
        <v>5</v>
      </c>
      <c r="I45">
        <v>5</v>
      </c>
      <c r="J45">
        <v>0</v>
      </c>
      <c r="K45">
        <v>0</v>
      </c>
      <c r="L45" s="2">
        <v>1</v>
      </c>
    </row>
    <row r="46" spans="1:17" x14ac:dyDescent="0.3">
      <c r="A46" s="1" t="s">
        <v>125</v>
      </c>
      <c r="B46" s="2">
        <v>8</v>
      </c>
      <c r="C46" s="2">
        <v>16</v>
      </c>
      <c r="D46">
        <v>40</v>
      </c>
      <c r="E46">
        <v>8</v>
      </c>
      <c r="F46">
        <v>32</v>
      </c>
      <c r="G46" s="2">
        <v>0</v>
      </c>
      <c r="L46" s="2">
        <v>1</v>
      </c>
    </row>
    <row r="47" spans="1:17" x14ac:dyDescent="0.3">
      <c r="A47" s="1" t="s">
        <v>57</v>
      </c>
      <c r="B47" s="2">
        <v>5</v>
      </c>
      <c r="C47" s="2">
        <v>37</v>
      </c>
      <c r="D47">
        <v>53</v>
      </c>
      <c r="E47">
        <v>24</v>
      </c>
      <c r="F47">
        <v>29</v>
      </c>
      <c r="G47" s="2">
        <v>0</v>
      </c>
      <c r="H47">
        <v>21</v>
      </c>
      <c r="I47">
        <v>20</v>
      </c>
      <c r="J47">
        <v>0</v>
      </c>
      <c r="K47">
        <v>1</v>
      </c>
      <c r="L47" s="2">
        <v>1</v>
      </c>
    </row>
    <row r="48" spans="1:17" x14ac:dyDescent="0.3">
      <c r="A48" s="1" t="s">
        <v>58</v>
      </c>
      <c r="B48" s="2">
        <v>5</v>
      </c>
      <c r="C48" s="2">
        <v>17</v>
      </c>
      <c r="D48">
        <v>25</v>
      </c>
      <c r="E48">
        <v>15</v>
      </c>
      <c r="F48">
        <v>10</v>
      </c>
      <c r="G48" s="2">
        <v>0</v>
      </c>
      <c r="H48">
        <v>17</v>
      </c>
      <c r="I48">
        <v>15</v>
      </c>
      <c r="J48">
        <v>2</v>
      </c>
      <c r="K48">
        <v>0</v>
      </c>
      <c r="L48" s="2">
        <v>1</v>
      </c>
    </row>
    <row r="49" spans="1:14" x14ac:dyDescent="0.3">
      <c r="A49" s="1" t="s">
        <v>57</v>
      </c>
      <c r="B49" s="2">
        <v>5</v>
      </c>
      <c r="C49" s="2">
        <v>37</v>
      </c>
      <c r="D49">
        <v>53</v>
      </c>
      <c r="E49">
        <v>24</v>
      </c>
      <c r="F49">
        <v>29</v>
      </c>
      <c r="G49" s="2">
        <v>0</v>
      </c>
      <c r="L49" s="2">
        <v>1</v>
      </c>
    </row>
    <row r="50" spans="1:14" x14ac:dyDescent="0.3">
      <c r="A50" s="1" t="s">
        <v>119</v>
      </c>
      <c r="B50" s="2">
        <v>5</v>
      </c>
      <c r="C50" s="2">
        <v>4</v>
      </c>
      <c r="D50">
        <v>10</v>
      </c>
      <c r="E50">
        <v>9</v>
      </c>
      <c r="F50">
        <v>1</v>
      </c>
      <c r="G50" s="2">
        <v>0</v>
      </c>
      <c r="L50" s="2">
        <v>1</v>
      </c>
    </row>
    <row r="51" spans="1:14" x14ac:dyDescent="0.3">
      <c r="A51" s="1" t="s">
        <v>120</v>
      </c>
      <c r="B51" s="2">
        <v>8</v>
      </c>
      <c r="C51" s="2">
        <v>8</v>
      </c>
      <c r="D51">
        <v>22</v>
      </c>
      <c r="E51">
        <v>16</v>
      </c>
      <c r="F51">
        <v>6</v>
      </c>
      <c r="G51" s="2">
        <v>0</v>
      </c>
      <c r="L51" s="2">
        <v>1</v>
      </c>
    </row>
    <row r="52" spans="1:14" x14ac:dyDescent="0.3">
      <c r="A52" s="1" t="s">
        <v>121</v>
      </c>
      <c r="B52" s="2">
        <v>10</v>
      </c>
      <c r="C52" s="2">
        <v>15</v>
      </c>
      <c r="D52">
        <v>55</v>
      </c>
      <c r="E52">
        <v>38</v>
      </c>
      <c r="F52">
        <v>17</v>
      </c>
      <c r="G52" s="2">
        <v>2</v>
      </c>
      <c r="L52" s="2">
        <v>1</v>
      </c>
      <c r="M52" s="2">
        <v>0.5625</v>
      </c>
      <c r="N52" s="2">
        <v>0.33329999999999999</v>
      </c>
    </row>
    <row r="53" spans="1:14" x14ac:dyDescent="0.3">
      <c r="A53" s="1" t="s">
        <v>122</v>
      </c>
      <c r="B53" s="2">
        <v>5</v>
      </c>
      <c r="C53" s="2">
        <v>5</v>
      </c>
      <c r="D53">
        <v>10</v>
      </c>
      <c r="E53">
        <v>7</v>
      </c>
      <c r="F53">
        <v>3</v>
      </c>
      <c r="G53" s="2">
        <v>0</v>
      </c>
      <c r="L53" s="2">
        <v>1</v>
      </c>
    </row>
    <row r="54" spans="1:14" x14ac:dyDescent="0.3">
      <c r="A54" s="1" t="s">
        <v>123</v>
      </c>
      <c r="B54" s="2">
        <v>8</v>
      </c>
      <c r="C54" s="2">
        <v>6</v>
      </c>
      <c r="D54">
        <v>16</v>
      </c>
      <c r="E54">
        <v>11</v>
      </c>
      <c r="F54">
        <v>5</v>
      </c>
      <c r="G54" s="2">
        <v>0</v>
      </c>
      <c r="L54" s="2">
        <v>1</v>
      </c>
    </row>
    <row r="55" spans="1:14" x14ac:dyDescent="0.3">
      <c r="A55" s="1" t="s">
        <v>124</v>
      </c>
      <c r="B55" s="2">
        <v>10</v>
      </c>
      <c r="C55" s="2">
        <v>3</v>
      </c>
      <c r="D55">
        <v>14</v>
      </c>
      <c r="E55">
        <v>11</v>
      </c>
      <c r="F55">
        <v>3</v>
      </c>
      <c r="G55" s="2">
        <v>0</v>
      </c>
      <c r="L55" s="2">
        <v>1</v>
      </c>
    </row>
  </sheetData>
  <sortState xmlns:xlrd2="http://schemas.microsoft.com/office/spreadsheetml/2017/richdata2" ref="A3:Q41">
    <sortCondition ref="B3:B41"/>
    <sortCondition ref="C3:C41"/>
    <sortCondition ref="A3:A41"/>
  </sortState>
  <mergeCells count="2">
    <mergeCell ref="D1:F1"/>
    <mergeCell ref="H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8940-0404-4069-B70E-11C39781CF51}">
  <dimension ref="A1:R160"/>
  <sheetViews>
    <sheetView zoomScale="115" zoomScaleNormal="115" workbookViewId="0">
      <pane ySplit="2" topLeftCell="A142" activePane="bottomLeft" state="frozen"/>
      <selection pane="bottomLeft" activeCell="Q160" sqref="A156:Q160"/>
    </sheetView>
  </sheetViews>
  <sheetFormatPr defaultRowHeight="14.4" x14ac:dyDescent="0.3"/>
  <cols>
    <col min="1" max="1" width="24.6640625" style="1" bestFit="1" customWidth="1"/>
    <col min="2" max="2" width="11.77734375" style="2" bestFit="1" customWidth="1"/>
    <col min="3" max="3" width="8.77734375" style="2"/>
    <col min="4" max="4" width="4.88671875" bestFit="1" customWidth="1"/>
    <col min="5" max="6" width="6.6640625" bestFit="1" customWidth="1"/>
    <col min="7" max="7" width="6.33203125" style="2" bestFit="1" customWidth="1"/>
    <col min="8" max="8" width="4.88671875" bestFit="1" customWidth="1"/>
    <col min="9" max="10" width="6.6640625" bestFit="1" customWidth="1"/>
    <col min="11" max="11" width="6.6640625" customWidth="1"/>
    <col min="12" max="12" width="8.77734375" style="2"/>
    <col min="13" max="17" width="9.77734375" style="2" bestFit="1" customWidth="1"/>
  </cols>
  <sheetData>
    <row r="1" spans="1:18" x14ac:dyDescent="0.3">
      <c r="D1" s="4" t="s">
        <v>29</v>
      </c>
      <c r="E1" s="4"/>
      <c r="F1" s="4"/>
      <c r="H1" s="5" t="s">
        <v>33</v>
      </c>
      <c r="I1" s="4"/>
      <c r="J1" s="4"/>
      <c r="K1" s="6"/>
    </row>
    <row r="2" spans="1:18" x14ac:dyDescent="0.3">
      <c r="A2" s="1" t="s">
        <v>0</v>
      </c>
      <c r="B2" s="2" t="s">
        <v>1</v>
      </c>
      <c r="C2" s="2" t="s">
        <v>2</v>
      </c>
      <c r="D2" t="s">
        <v>30</v>
      </c>
      <c r="E2" t="s">
        <v>31</v>
      </c>
      <c r="F2" t="s">
        <v>32</v>
      </c>
      <c r="G2" s="2" t="s">
        <v>5</v>
      </c>
      <c r="H2" t="s">
        <v>30</v>
      </c>
      <c r="I2" t="s">
        <v>31</v>
      </c>
      <c r="J2" t="s">
        <v>32</v>
      </c>
      <c r="K2" t="s">
        <v>34</v>
      </c>
      <c r="L2" s="2" t="s">
        <v>6</v>
      </c>
      <c r="M2" s="2" t="s">
        <v>13</v>
      </c>
      <c r="N2" s="2" t="s">
        <v>14</v>
      </c>
      <c r="O2" s="2" t="s">
        <v>18</v>
      </c>
      <c r="P2" s="2" t="s">
        <v>19</v>
      </c>
      <c r="Q2" s="2" t="s">
        <v>20</v>
      </c>
    </row>
    <row r="3" spans="1:18" x14ac:dyDescent="0.3">
      <c r="A3" s="1" t="s">
        <v>4</v>
      </c>
      <c r="B3" s="2">
        <v>2</v>
      </c>
      <c r="C3" s="2">
        <v>2</v>
      </c>
      <c r="G3" s="2">
        <v>0</v>
      </c>
      <c r="H3">
        <v>3</v>
      </c>
      <c r="I3">
        <v>3</v>
      </c>
      <c r="J3">
        <v>0</v>
      </c>
      <c r="K3">
        <v>0</v>
      </c>
      <c r="L3" s="2">
        <v>1</v>
      </c>
    </row>
    <row r="4" spans="1:18" x14ac:dyDescent="0.3">
      <c r="A4" s="1" t="s">
        <v>3</v>
      </c>
      <c r="B4" s="2">
        <v>2</v>
      </c>
      <c r="C4" s="2">
        <v>2</v>
      </c>
      <c r="G4" s="2">
        <v>0</v>
      </c>
      <c r="H4">
        <v>2</v>
      </c>
      <c r="I4">
        <v>2</v>
      </c>
      <c r="J4">
        <v>0</v>
      </c>
      <c r="K4">
        <v>0</v>
      </c>
      <c r="L4" s="2">
        <v>1</v>
      </c>
    </row>
    <row r="5" spans="1:18" x14ac:dyDescent="0.3">
      <c r="A5" s="1" t="s">
        <v>59</v>
      </c>
      <c r="B5" s="2">
        <v>2</v>
      </c>
      <c r="C5" s="2">
        <v>2</v>
      </c>
      <c r="G5" s="2">
        <v>0</v>
      </c>
      <c r="H5">
        <v>2</v>
      </c>
      <c r="I5">
        <v>2</v>
      </c>
      <c r="J5">
        <v>0</v>
      </c>
      <c r="K5">
        <v>0</v>
      </c>
      <c r="L5" s="2">
        <v>1</v>
      </c>
    </row>
    <row r="6" spans="1:18" x14ac:dyDescent="0.3">
      <c r="A6" s="1" t="s">
        <v>60</v>
      </c>
      <c r="B6" s="2">
        <v>2</v>
      </c>
      <c r="C6" s="2">
        <v>2</v>
      </c>
      <c r="G6" s="2">
        <v>0</v>
      </c>
      <c r="H6">
        <v>0</v>
      </c>
      <c r="I6">
        <v>0</v>
      </c>
      <c r="J6">
        <v>0</v>
      </c>
      <c r="K6">
        <v>0</v>
      </c>
      <c r="L6" s="2">
        <v>1</v>
      </c>
    </row>
    <row r="7" spans="1:18" x14ac:dyDescent="0.3">
      <c r="A7" s="1" t="s">
        <v>61</v>
      </c>
      <c r="B7" s="2">
        <v>2</v>
      </c>
      <c r="C7" s="2">
        <v>2</v>
      </c>
      <c r="G7" s="2">
        <v>0</v>
      </c>
      <c r="H7">
        <v>2</v>
      </c>
      <c r="I7">
        <v>2</v>
      </c>
      <c r="J7">
        <v>0</v>
      </c>
      <c r="K7">
        <v>0</v>
      </c>
      <c r="L7" s="2">
        <v>1</v>
      </c>
    </row>
    <row r="9" spans="1:18" x14ac:dyDescent="0.3">
      <c r="A9" s="1" t="s">
        <v>8</v>
      </c>
      <c r="B9" s="2">
        <v>3</v>
      </c>
      <c r="C9" s="2">
        <v>6</v>
      </c>
      <c r="G9" s="2">
        <v>0</v>
      </c>
      <c r="H9">
        <v>6</v>
      </c>
      <c r="I9">
        <v>6</v>
      </c>
      <c r="J9">
        <v>0</v>
      </c>
      <c r="K9">
        <v>0</v>
      </c>
      <c r="L9" s="2">
        <v>0.99629999999999996</v>
      </c>
    </row>
    <row r="10" spans="1:18" x14ac:dyDescent="0.3">
      <c r="A10" s="1" t="s">
        <v>7</v>
      </c>
      <c r="B10" s="2">
        <v>3</v>
      </c>
      <c r="C10" s="2">
        <v>6</v>
      </c>
      <c r="G10" s="2">
        <v>0</v>
      </c>
      <c r="L10" s="2">
        <v>6.0999999999999999E-2</v>
      </c>
      <c r="M10" s="2">
        <v>1.44E-2</v>
      </c>
      <c r="R10" t="s">
        <v>65</v>
      </c>
    </row>
    <row r="11" spans="1:18" x14ac:dyDescent="0.3">
      <c r="A11" s="1" t="s">
        <v>62</v>
      </c>
      <c r="B11" s="2">
        <v>3</v>
      </c>
      <c r="C11" s="2">
        <v>6</v>
      </c>
      <c r="G11" s="2">
        <v>5</v>
      </c>
      <c r="H11">
        <v>15</v>
      </c>
      <c r="I11">
        <v>9</v>
      </c>
      <c r="J11">
        <v>6</v>
      </c>
      <c r="K11">
        <v>0</v>
      </c>
      <c r="L11" s="2">
        <v>8.9300000000000004E-2</v>
      </c>
      <c r="M11" s="2">
        <v>7.8100000000000003E-2</v>
      </c>
      <c r="N11" s="2">
        <v>5.8700000000000002E-2</v>
      </c>
      <c r="O11" s="2">
        <v>7.1400000000000005E-2</v>
      </c>
      <c r="P11" s="2">
        <v>0.20960000000000001</v>
      </c>
      <c r="Q11" s="2">
        <v>4.9099999999999998E-2</v>
      </c>
    </row>
    <row r="12" spans="1:18" x14ac:dyDescent="0.3">
      <c r="A12" s="1" t="s">
        <v>63</v>
      </c>
      <c r="B12" s="2">
        <v>3</v>
      </c>
      <c r="C12" s="2">
        <v>6</v>
      </c>
      <c r="G12" s="2">
        <v>5</v>
      </c>
      <c r="H12">
        <v>6</v>
      </c>
      <c r="I12">
        <v>4</v>
      </c>
      <c r="J12">
        <v>2</v>
      </c>
      <c r="K12">
        <v>0</v>
      </c>
      <c r="L12" s="2">
        <v>0.1308</v>
      </c>
      <c r="M12" s="2">
        <v>0.46860000000000002</v>
      </c>
      <c r="N12" s="2">
        <v>0.50149999999999995</v>
      </c>
      <c r="O12" s="2">
        <v>0.20569999999999999</v>
      </c>
      <c r="P12" s="2">
        <v>0.2253</v>
      </c>
      <c r="Q12" s="2">
        <v>1.6999999999999999E-3</v>
      </c>
    </row>
    <row r="13" spans="1:18" x14ac:dyDescent="0.3">
      <c r="A13" s="1" t="s">
        <v>64</v>
      </c>
      <c r="B13" s="2">
        <v>3</v>
      </c>
      <c r="C13" s="2">
        <v>6</v>
      </c>
      <c r="G13" s="2">
        <v>5</v>
      </c>
      <c r="H13">
        <v>16</v>
      </c>
      <c r="I13">
        <v>12</v>
      </c>
      <c r="J13">
        <v>4</v>
      </c>
      <c r="K13">
        <v>0</v>
      </c>
      <c r="L13" s="2">
        <v>0.13389999999999999</v>
      </c>
      <c r="M13" s="2">
        <v>6.1499999999999999E-2</v>
      </c>
      <c r="N13" s="2">
        <v>0.29799999999999999</v>
      </c>
      <c r="O13" s="2">
        <v>1.6400000000000001E-2</v>
      </c>
      <c r="P13" s="2">
        <v>0.16</v>
      </c>
      <c r="Q13" s="2">
        <v>0.4299</v>
      </c>
    </row>
    <row r="14" spans="1:18" x14ac:dyDescent="0.3">
      <c r="A14" s="1" t="s">
        <v>22</v>
      </c>
      <c r="B14" s="2">
        <v>4</v>
      </c>
      <c r="C14" s="2">
        <v>10</v>
      </c>
    </row>
    <row r="15" spans="1:18" x14ac:dyDescent="0.3">
      <c r="A15" s="1" t="s">
        <v>23</v>
      </c>
      <c r="B15" s="2">
        <v>4</v>
      </c>
      <c r="C15" s="2">
        <v>10</v>
      </c>
      <c r="G15" s="2">
        <v>5</v>
      </c>
      <c r="H15">
        <v>32</v>
      </c>
      <c r="I15">
        <v>24</v>
      </c>
      <c r="J15">
        <v>8</v>
      </c>
      <c r="K15">
        <v>0</v>
      </c>
      <c r="L15" s="2">
        <v>3.0999999999999999E-3</v>
      </c>
      <c r="M15" s="2">
        <v>2.6200000000000001E-2</v>
      </c>
      <c r="N15" s="2">
        <v>1.7899999999999999E-2</v>
      </c>
      <c r="O15" s="2">
        <v>5.4899999999999997E-2</v>
      </c>
      <c r="P15" s="2">
        <v>2.8199999999999999E-2</v>
      </c>
      <c r="Q15" s="2">
        <v>4.1099999999999998E-2</v>
      </c>
    </row>
    <row r="16" spans="1:18" x14ac:dyDescent="0.3">
      <c r="A16" s="1" t="s">
        <v>66</v>
      </c>
      <c r="B16" s="2">
        <v>4</v>
      </c>
      <c r="C16" s="2">
        <v>10</v>
      </c>
      <c r="G16" s="2">
        <v>5</v>
      </c>
      <c r="H16">
        <v>32</v>
      </c>
      <c r="I16">
        <v>24</v>
      </c>
      <c r="J16">
        <v>8</v>
      </c>
      <c r="K16">
        <v>0</v>
      </c>
      <c r="L16" s="2">
        <v>1.5599999999999999E-2</v>
      </c>
      <c r="M16" s="2">
        <v>7.6100000000000001E-2</v>
      </c>
      <c r="N16" s="2">
        <v>4.4999999999999997E-3</v>
      </c>
      <c r="O16" s="2">
        <v>0.13739999999999999</v>
      </c>
      <c r="P16" s="2">
        <v>6.1800000000000001E-2</v>
      </c>
      <c r="Q16" s="2">
        <v>0.19</v>
      </c>
    </row>
    <row r="17" spans="1:17" x14ac:dyDescent="0.3">
      <c r="A17" s="1" t="s">
        <v>67</v>
      </c>
      <c r="B17" s="2">
        <v>4</v>
      </c>
      <c r="C17" s="2">
        <v>10</v>
      </c>
      <c r="G17" s="2">
        <v>5</v>
      </c>
      <c r="H17">
        <v>30</v>
      </c>
      <c r="I17">
        <v>20</v>
      </c>
      <c r="J17">
        <v>10</v>
      </c>
      <c r="K17">
        <v>0</v>
      </c>
      <c r="L17" s="2">
        <v>0.04</v>
      </c>
      <c r="M17" s="2">
        <v>2.92E-2</v>
      </c>
      <c r="N17" s="2">
        <v>5.5599999999999997E-2</v>
      </c>
      <c r="O17" s="2">
        <v>0.1096</v>
      </c>
      <c r="P17" s="2">
        <v>8.9999999999999993E-3</v>
      </c>
      <c r="Q17" s="2">
        <v>8.8000000000000005E-3</v>
      </c>
    </row>
    <row r="18" spans="1:17" x14ac:dyDescent="0.3">
      <c r="A18" s="1" t="s">
        <v>68</v>
      </c>
      <c r="B18" s="2">
        <v>4</v>
      </c>
      <c r="C18" s="2">
        <v>10</v>
      </c>
      <c r="G18" s="2">
        <v>5</v>
      </c>
      <c r="H18">
        <v>32</v>
      </c>
      <c r="I18">
        <v>24</v>
      </c>
      <c r="J18">
        <v>8</v>
      </c>
      <c r="K18">
        <v>0</v>
      </c>
      <c r="L18" s="2">
        <v>1.23E-2</v>
      </c>
      <c r="M18" s="2">
        <v>5.4199999999999998E-2</v>
      </c>
      <c r="N18" s="2">
        <v>4.8099999999999997E-2</v>
      </c>
      <c r="O18" s="2">
        <v>4.2500000000000003E-2</v>
      </c>
      <c r="P18" s="2">
        <v>2.81E-2</v>
      </c>
      <c r="Q18" s="2">
        <v>6.4000000000000001E-2</v>
      </c>
    </row>
    <row r="19" spans="1:17" x14ac:dyDescent="0.3">
      <c r="A19" s="1" t="s">
        <v>10</v>
      </c>
      <c r="B19" s="2">
        <v>6</v>
      </c>
      <c r="C19" s="2">
        <v>3</v>
      </c>
      <c r="G19" s="2">
        <v>0</v>
      </c>
      <c r="H19">
        <v>7</v>
      </c>
      <c r="I19">
        <v>6</v>
      </c>
      <c r="J19">
        <v>1</v>
      </c>
      <c r="K19">
        <v>0</v>
      </c>
      <c r="L19" s="2">
        <v>1</v>
      </c>
      <c r="M19"/>
    </row>
    <row r="20" spans="1:17" x14ac:dyDescent="0.3">
      <c r="A20" t="s">
        <v>9</v>
      </c>
      <c r="B20" s="2">
        <v>6</v>
      </c>
      <c r="C20" s="2">
        <v>3</v>
      </c>
      <c r="G20" s="2">
        <v>5</v>
      </c>
      <c r="H20">
        <v>13</v>
      </c>
      <c r="I20">
        <v>12</v>
      </c>
      <c r="J20">
        <v>1</v>
      </c>
      <c r="K20">
        <v>0</v>
      </c>
      <c r="L20" s="2">
        <v>3.5999999999999997E-2</v>
      </c>
      <c r="M20" s="2">
        <v>1.2999999999999999E-3</v>
      </c>
      <c r="N20" s="2">
        <v>8.0000000000000004E-4</v>
      </c>
      <c r="O20" s="2">
        <v>3.8399999999999997E-2</v>
      </c>
      <c r="P20" s="2">
        <v>0.66710000000000003</v>
      </c>
      <c r="Q20" s="2">
        <v>3.9800000000000002E-2</v>
      </c>
    </row>
    <row r="21" spans="1:17" x14ac:dyDescent="0.3">
      <c r="A21" t="s">
        <v>71</v>
      </c>
      <c r="B21" s="2">
        <v>6</v>
      </c>
      <c r="C21" s="2">
        <v>3</v>
      </c>
      <c r="G21" s="2">
        <v>5</v>
      </c>
      <c r="H21">
        <v>16</v>
      </c>
      <c r="I21">
        <v>14</v>
      </c>
      <c r="J21">
        <v>2</v>
      </c>
      <c r="L21" s="2">
        <v>0.2752</v>
      </c>
      <c r="M21" s="2">
        <v>1.54E-2</v>
      </c>
      <c r="N21" s="1">
        <v>5.1200000000000002E-2</v>
      </c>
      <c r="O21" s="1">
        <v>0.71879999999999999</v>
      </c>
      <c r="P21" s="1">
        <v>2.86E-2</v>
      </c>
      <c r="Q21" s="1">
        <v>2.6200000000000001E-2</v>
      </c>
    </row>
    <row r="22" spans="1:17" x14ac:dyDescent="0.3">
      <c r="A22" t="s">
        <v>70</v>
      </c>
      <c r="B22" s="2">
        <v>6</v>
      </c>
      <c r="C22" s="2">
        <v>3</v>
      </c>
      <c r="G22" s="2">
        <v>0</v>
      </c>
      <c r="H22">
        <v>2</v>
      </c>
      <c r="I22">
        <v>2</v>
      </c>
      <c r="J22">
        <v>0</v>
      </c>
      <c r="K22">
        <v>0</v>
      </c>
      <c r="L22" s="2">
        <v>1</v>
      </c>
      <c r="N22" s="1"/>
      <c r="O22" s="1"/>
      <c r="Q22" s="1"/>
    </row>
    <row r="23" spans="1:17" x14ac:dyDescent="0.3">
      <c r="A23" t="s">
        <v>69</v>
      </c>
      <c r="B23" s="2">
        <v>6</v>
      </c>
      <c r="C23" s="2">
        <v>3</v>
      </c>
      <c r="G23" s="2">
        <v>1</v>
      </c>
      <c r="H23">
        <v>11</v>
      </c>
      <c r="I23">
        <v>11</v>
      </c>
      <c r="J23">
        <v>0</v>
      </c>
      <c r="K23">
        <v>0</v>
      </c>
      <c r="L23" s="2">
        <v>0.94779999999999998</v>
      </c>
      <c r="M23" s="2">
        <v>0.33950000000000002</v>
      </c>
    </row>
    <row r="24" spans="1:17" x14ac:dyDescent="0.3">
      <c r="A24" t="s">
        <v>11</v>
      </c>
      <c r="B24" s="2">
        <v>6</v>
      </c>
      <c r="C24" s="2">
        <v>6</v>
      </c>
      <c r="G24" s="2">
        <v>5</v>
      </c>
      <c r="H24">
        <v>26</v>
      </c>
      <c r="I24">
        <v>15</v>
      </c>
      <c r="J24">
        <v>11</v>
      </c>
      <c r="K24">
        <v>0</v>
      </c>
      <c r="L24" s="2">
        <v>0.1065</v>
      </c>
      <c r="M24" s="2">
        <v>5.0500000000000003E-2</v>
      </c>
      <c r="N24" s="2">
        <v>0.19439999999999999</v>
      </c>
      <c r="O24" s="2">
        <v>5.45E-2</v>
      </c>
      <c r="P24" s="2">
        <v>0.13489999999999999</v>
      </c>
      <c r="Q24" s="2">
        <v>2.06E-2</v>
      </c>
    </row>
    <row r="25" spans="1:17" x14ac:dyDescent="0.3">
      <c r="A25" t="s">
        <v>12</v>
      </c>
      <c r="B25" s="2">
        <v>6</v>
      </c>
      <c r="C25" s="2">
        <v>6</v>
      </c>
      <c r="D25">
        <v>25</v>
      </c>
      <c r="E25">
        <v>15</v>
      </c>
      <c r="F25">
        <v>10</v>
      </c>
      <c r="G25" s="2">
        <v>5</v>
      </c>
      <c r="H25">
        <v>27</v>
      </c>
      <c r="I25">
        <v>18</v>
      </c>
      <c r="J25">
        <v>9</v>
      </c>
      <c r="K25">
        <v>0</v>
      </c>
      <c r="L25" s="2">
        <v>1.15E-2</v>
      </c>
      <c r="M25" s="2">
        <v>1.9E-3</v>
      </c>
      <c r="N25" s="2">
        <v>1.2800000000000001E-2</v>
      </c>
      <c r="O25" s="2">
        <v>4.4999999999999997E-3</v>
      </c>
      <c r="P25" s="2">
        <v>2.7000000000000001E-3</v>
      </c>
      <c r="Q25" s="2">
        <v>3.3E-3</v>
      </c>
    </row>
    <row r="26" spans="1:17" x14ac:dyDescent="0.3">
      <c r="A26" t="s">
        <v>15</v>
      </c>
      <c r="B26" s="2">
        <v>6</v>
      </c>
      <c r="C26" s="2">
        <v>6</v>
      </c>
      <c r="D26">
        <v>18</v>
      </c>
      <c r="E26">
        <v>0</v>
      </c>
      <c r="F26">
        <v>18</v>
      </c>
      <c r="G26" s="2">
        <v>5</v>
      </c>
      <c r="H26">
        <v>33</v>
      </c>
      <c r="I26">
        <v>18</v>
      </c>
      <c r="J26">
        <v>15</v>
      </c>
      <c r="K26">
        <v>0</v>
      </c>
      <c r="L26" s="2">
        <v>5.2900000000000003E-2</v>
      </c>
      <c r="M26" s="2">
        <v>1.6000000000000001E-3</v>
      </c>
      <c r="N26" s="2">
        <v>1.2999999999999999E-3</v>
      </c>
      <c r="O26" s="2">
        <v>1.35E-2</v>
      </c>
      <c r="P26" s="2">
        <v>0.2989</v>
      </c>
      <c r="Q26" s="2">
        <v>1.6500000000000001E-2</v>
      </c>
    </row>
    <row r="27" spans="1:17" x14ac:dyDescent="0.3">
      <c r="A27" t="s">
        <v>73</v>
      </c>
      <c r="B27" s="2">
        <v>6</v>
      </c>
      <c r="C27" s="2">
        <v>6</v>
      </c>
      <c r="D27">
        <v>26</v>
      </c>
      <c r="E27">
        <v>18</v>
      </c>
      <c r="F27">
        <v>8</v>
      </c>
      <c r="G27" s="2">
        <v>5</v>
      </c>
      <c r="H27">
        <v>27</v>
      </c>
      <c r="I27">
        <v>18</v>
      </c>
      <c r="J27">
        <v>9</v>
      </c>
      <c r="K27">
        <v>0</v>
      </c>
      <c r="L27" s="2">
        <v>1.1900000000000001E-2</v>
      </c>
      <c r="M27" s="2">
        <v>4.3E-3</v>
      </c>
      <c r="N27" s="2">
        <v>1.2699999999999999E-2</v>
      </c>
      <c r="O27" s="2">
        <v>4.7000000000000002E-3</v>
      </c>
      <c r="P27" s="2">
        <v>3.8E-3</v>
      </c>
      <c r="Q27" s="2">
        <v>7.7999999999999996E-3</v>
      </c>
    </row>
    <row r="28" spans="1:17" x14ac:dyDescent="0.3">
      <c r="A28" t="s">
        <v>72</v>
      </c>
      <c r="B28" s="2">
        <v>6</v>
      </c>
      <c r="C28" s="2">
        <v>6</v>
      </c>
      <c r="D28">
        <v>19</v>
      </c>
      <c r="E28">
        <v>2</v>
      </c>
      <c r="F28">
        <v>17</v>
      </c>
      <c r="G28" s="2">
        <v>5</v>
      </c>
      <c r="H28">
        <v>27</v>
      </c>
      <c r="I28">
        <v>18</v>
      </c>
      <c r="J28">
        <v>9</v>
      </c>
      <c r="K28">
        <v>0</v>
      </c>
      <c r="L28" s="2">
        <v>6.6E-3</v>
      </c>
      <c r="M28" s="2">
        <v>1.9900000000000001E-2</v>
      </c>
      <c r="N28" s="1">
        <v>5.0000000000000001E-4</v>
      </c>
      <c r="O28" s="2">
        <v>7.7000000000000002E-3</v>
      </c>
      <c r="P28" s="2">
        <v>4.1000000000000003E-3</v>
      </c>
      <c r="Q28" s="1">
        <v>1.72E-2</v>
      </c>
    </row>
    <row r="29" spans="1:17" x14ac:dyDescent="0.3">
      <c r="A29" t="s">
        <v>24</v>
      </c>
      <c r="B29" s="2">
        <v>6</v>
      </c>
      <c r="C29" s="1">
        <v>10</v>
      </c>
      <c r="D29">
        <v>50</v>
      </c>
      <c r="E29">
        <v>40</v>
      </c>
      <c r="F29" s="1">
        <v>10</v>
      </c>
      <c r="G29" s="2">
        <v>5</v>
      </c>
      <c r="H29">
        <v>47</v>
      </c>
      <c r="I29">
        <v>30</v>
      </c>
      <c r="J29">
        <v>17</v>
      </c>
      <c r="K29" s="1">
        <v>0</v>
      </c>
      <c r="L29" s="2">
        <v>5.3E-3</v>
      </c>
      <c r="M29" s="2">
        <v>2.5000000000000001E-3</v>
      </c>
      <c r="N29" s="2">
        <v>1E-4</v>
      </c>
      <c r="O29" s="2">
        <v>4.8899999999999999E-2</v>
      </c>
      <c r="P29" s="2">
        <v>7.4000000000000003E-3</v>
      </c>
      <c r="Q29" s="1">
        <v>2.9999999999999997E-4</v>
      </c>
    </row>
    <row r="30" spans="1:17" x14ac:dyDescent="0.3">
      <c r="A30" t="s">
        <v>25</v>
      </c>
      <c r="B30" s="2">
        <v>6</v>
      </c>
      <c r="C30" s="1">
        <v>10</v>
      </c>
      <c r="D30">
        <v>42</v>
      </c>
      <c r="E30">
        <v>26</v>
      </c>
      <c r="F30" s="1">
        <v>16</v>
      </c>
      <c r="G30" s="2">
        <v>0</v>
      </c>
      <c r="K30" s="1"/>
      <c r="Q30" s="1"/>
    </row>
    <row r="31" spans="1:17" x14ac:dyDescent="0.3">
      <c r="A31" t="s">
        <v>74</v>
      </c>
      <c r="B31" s="2">
        <v>6</v>
      </c>
      <c r="C31" s="1">
        <v>10</v>
      </c>
      <c r="D31">
        <v>51</v>
      </c>
      <c r="E31">
        <v>42</v>
      </c>
      <c r="F31" s="1">
        <v>9</v>
      </c>
      <c r="G31" s="2">
        <v>5</v>
      </c>
      <c r="H31">
        <v>45</v>
      </c>
      <c r="I31">
        <v>30</v>
      </c>
      <c r="J31">
        <v>15</v>
      </c>
      <c r="K31" s="1">
        <v>0</v>
      </c>
      <c r="L31" s="2">
        <v>6.7999999999999996E-3</v>
      </c>
      <c r="M31" s="2">
        <v>2.1100000000000001E-2</v>
      </c>
      <c r="N31" s="2">
        <v>1.61E-2</v>
      </c>
      <c r="O31" s="2">
        <v>2.3699999999999999E-2</v>
      </c>
      <c r="P31" s="2">
        <v>1.43E-2</v>
      </c>
      <c r="Q31" s="1">
        <v>1.7899999999999999E-2</v>
      </c>
    </row>
    <row r="32" spans="1:17" x14ac:dyDescent="0.3">
      <c r="A32" t="s">
        <v>75</v>
      </c>
      <c r="B32" s="2">
        <v>6</v>
      </c>
      <c r="C32" s="1">
        <v>10</v>
      </c>
      <c r="D32">
        <v>33</v>
      </c>
      <c r="E32">
        <v>9</v>
      </c>
      <c r="F32" s="1">
        <v>24</v>
      </c>
      <c r="G32" s="2">
        <v>5</v>
      </c>
      <c r="H32">
        <v>45</v>
      </c>
      <c r="I32">
        <v>30</v>
      </c>
      <c r="J32">
        <v>15</v>
      </c>
      <c r="K32" s="1">
        <v>0</v>
      </c>
      <c r="L32" s="2">
        <v>1.9E-2</v>
      </c>
      <c r="M32" s="2">
        <v>2.4400000000000002E-2</v>
      </c>
      <c r="N32" s="2">
        <v>3.3700000000000001E-2</v>
      </c>
      <c r="O32" s="2">
        <v>2.4400000000000002E-2</v>
      </c>
      <c r="P32" s="2">
        <v>3.7000000000000002E-3</v>
      </c>
      <c r="Q32" s="1">
        <v>8.0000000000000004E-4</v>
      </c>
    </row>
    <row r="33" spans="1:17" x14ac:dyDescent="0.3">
      <c r="A33" t="s">
        <v>76</v>
      </c>
      <c r="B33" s="2">
        <v>6</v>
      </c>
      <c r="C33" s="1">
        <v>10</v>
      </c>
      <c r="D33">
        <v>36</v>
      </c>
      <c r="E33">
        <v>15</v>
      </c>
      <c r="F33" s="1">
        <v>21</v>
      </c>
      <c r="G33" s="2">
        <v>1</v>
      </c>
      <c r="H33">
        <v>10</v>
      </c>
      <c r="I33">
        <v>10</v>
      </c>
      <c r="J33">
        <v>0</v>
      </c>
      <c r="K33" s="1">
        <v>0</v>
      </c>
      <c r="L33" s="2">
        <v>0.98360000000000003</v>
      </c>
      <c r="M33" s="2">
        <v>1.6999999999999999E-3</v>
      </c>
      <c r="Q33" s="1"/>
    </row>
    <row r="34" spans="1:17" x14ac:dyDescent="0.3">
      <c r="A34" t="s">
        <v>26</v>
      </c>
      <c r="B34" s="2">
        <v>6</v>
      </c>
      <c r="C34" s="1">
        <v>14</v>
      </c>
      <c r="D34">
        <v>42</v>
      </c>
      <c r="E34">
        <v>0</v>
      </c>
      <c r="F34" s="1">
        <v>42</v>
      </c>
      <c r="G34" s="2">
        <v>0</v>
      </c>
      <c r="K34" s="1"/>
      <c r="Q34" s="1"/>
    </row>
    <row r="35" spans="1:17" x14ac:dyDescent="0.3">
      <c r="A35" t="s">
        <v>27</v>
      </c>
      <c r="B35" s="2">
        <v>6</v>
      </c>
      <c r="C35" s="1">
        <v>14</v>
      </c>
      <c r="D35">
        <v>54</v>
      </c>
      <c r="E35">
        <v>28</v>
      </c>
      <c r="F35" s="1">
        <v>26</v>
      </c>
      <c r="G35" s="2">
        <v>5</v>
      </c>
      <c r="H35">
        <v>62</v>
      </c>
      <c r="I35">
        <v>40</v>
      </c>
      <c r="J35">
        <v>22</v>
      </c>
      <c r="K35" s="1">
        <v>0</v>
      </c>
      <c r="L35" s="2">
        <v>4.2000000000000003E-2</v>
      </c>
      <c r="M35" s="2">
        <v>7.9100000000000004E-2</v>
      </c>
      <c r="N35" s="2">
        <v>2.9999999999999997E-4</v>
      </c>
      <c r="O35" s="2">
        <v>6.9999999999999999E-4</v>
      </c>
      <c r="P35" s="2">
        <v>1.35E-2</v>
      </c>
      <c r="Q35" s="1">
        <v>1.6899999999999998E-2</v>
      </c>
    </row>
    <row r="36" spans="1:17" x14ac:dyDescent="0.3">
      <c r="A36" t="s">
        <v>77</v>
      </c>
      <c r="B36" s="2">
        <v>6</v>
      </c>
      <c r="C36" s="1">
        <v>14</v>
      </c>
      <c r="F36" s="1"/>
      <c r="G36" s="2">
        <v>5</v>
      </c>
      <c r="H36">
        <v>63</v>
      </c>
      <c r="I36">
        <v>42</v>
      </c>
      <c r="J36">
        <v>21</v>
      </c>
      <c r="K36" s="1">
        <v>0</v>
      </c>
      <c r="L36" s="2">
        <v>2.0000000000000001E-4</v>
      </c>
      <c r="M36" s="2">
        <v>3.7999999999999999E-2</v>
      </c>
      <c r="N36" s="2">
        <v>2.3099999999999999E-2</v>
      </c>
      <c r="O36" s="2">
        <v>1.6E-2</v>
      </c>
      <c r="P36" s="2">
        <v>9.4000000000000004E-3</v>
      </c>
      <c r="Q36" s="1">
        <v>8.2000000000000007E-3</v>
      </c>
    </row>
    <row r="37" spans="1:17" x14ac:dyDescent="0.3">
      <c r="A37" t="s">
        <v>78</v>
      </c>
      <c r="B37" s="2">
        <v>6</v>
      </c>
      <c r="C37" s="1">
        <v>14</v>
      </c>
      <c r="D37">
        <v>68</v>
      </c>
      <c r="E37">
        <v>53</v>
      </c>
      <c r="F37" s="1">
        <v>15</v>
      </c>
      <c r="G37" s="2">
        <v>5</v>
      </c>
      <c r="H37">
        <v>63</v>
      </c>
      <c r="I37">
        <v>42</v>
      </c>
      <c r="J37">
        <v>21</v>
      </c>
      <c r="K37" s="1">
        <v>0</v>
      </c>
      <c r="L37" s="2">
        <v>3.2399999999999998E-2</v>
      </c>
      <c r="M37" s="2">
        <v>3.2099999999999997E-2</v>
      </c>
      <c r="N37" s="2">
        <v>2.2000000000000001E-3</v>
      </c>
      <c r="O37" s="2">
        <v>2.8999999999999998E-3</v>
      </c>
      <c r="P37" s="2">
        <v>1.11E-2</v>
      </c>
      <c r="Q37" s="1">
        <v>2.98E-2</v>
      </c>
    </row>
    <row r="38" spans="1:17" x14ac:dyDescent="0.3">
      <c r="A38" t="s">
        <v>79</v>
      </c>
      <c r="B38" s="2">
        <v>6</v>
      </c>
      <c r="C38" s="1">
        <v>14</v>
      </c>
      <c r="D38">
        <v>69</v>
      </c>
      <c r="E38">
        <v>55</v>
      </c>
      <c r="F38" s="1">
        <v>14</v>
      </c>
      <c r="G38" s="2">
        <v>5</v>
      </c>
      <c r="H38">
        <v>66</v>
      </c>
      <c r="I38">
        <v>48</v>
      </c>
      <c r="J38">
        <v>18</v>
      </c>
      <c r="K38" s="1">
        <v>0</v>
      </c>
      <c r="L38" s="2">
        <v>1.5100000000000001E-2</v>
      </c>
      <c r="M38" s="2">
        <v>2.9999999999999997E-4</v>
      </c>
      <c r="N38" s="2">
        <v>2.3E-3</v>
      </c>
      <c r="O38" s="2">
        <v>1.04E-2</v>
      </c>
      <c r="P38" s="2">
        <v>2.0999999999999999E-3</v>
      </c>
      <c r="Q38" s="1">
        <v>2.46E-2</v>
      </c>
    </row>
    <row r="39" spans="1:17" x14ac:dyDescent="0.3">
      <c r="A39" t="s">
        <v>52</v>
      </c>
      <c r="B39" s="2">
        <v>6</v>
      </c>
      <c r="C39" s="1">
        <v>16</v>
      </c>
      <c r="D39">
        <v>67</v>
      </c>
      <c r="E39">
        <v>42</v>
      </c>
      <c r="F39" s="1">
        <v>25</v>
      </c>
      <c r="G39" s="2">
        <v>0</v>
      </c>
      <c r="K39" s="1"/>
      <c r="Q39" s="1"/>
    </row>
    <row r="40" spans="1:17" x14ac:dyDescent="0.3">
      <c r="A40" t="s">
        <v>53</v>
      </c>
      <c r="B40" s="2">
        <v>6</v>
      </c>
      <c r="C40" s="1">
        <v>16</v>
      </c>
      <c r="F40" s="1"/>
      <c r="G40" s="2">
        <v>5</v>
      </c>
      <c r="H40">
        <v>72</v>
      </c>
      <c r="I40">
        <v>48</v>
      </c>
      <c r="J40">
        <v>24</v>
      </c>
      <c r="K40" s="1">
        <v>0</v>
      </c>
      <c r="L40" s="2">
        <v>1.72E-2</v>
      </c>
      <c r="M40" s="2">
        <v>2.01E-2</v>
      </c>
      <c r="N40" s="2">
        <v>1.7999999999999999E-2</v>
      </c>
      <c r="O40" s="2">
        <v>2.93E-2</v>
      </c>
      <c r="P40" s="2">
        <v>4.9700000000000001E-2</v>
      </c>
      <c r="Q40" s="1">
        <v>7.9200000000000007E-2</v>
      </c>
    </row>
    <row r="41" spans="1:17" x14ac:dyDescent="0.3">
      <c r="A41" t="s">
        <v>80</v>
      </c>
      <c r="B41" s="2">
        <v>6</v>
      </c>
      <c r="C41" s="1">
        <v>16</v>
      </c>
      <c r="D41">
        <v>48</v>
      </c>
      <c r="E41">
        <v>0</v>
      </c>
      <c r="F41" s="1">
        <v>48</v>
      </c>
      <c r="G41" s="2">
        <v>5</v>
      </c>
      <c r="H41">
        <v>81</v>
      </c>
      <c r="I41">
        <v>66</v>
      </c>
      <c r="J41">
        <v>15</v>
      </c>
      <c r="K41" s="1">
        <v>0</v>
      </c>
      <c r="L41" s="2">
        <v>1.11E-2</v>
      </c>
      <c r="M41" s="2">
        <v>2.5999999999999999E-3</v>
      </c>
      <c r="N41" s="2">
        <v>2.46E-2</v>
      </c>
      <c r="O41" s="2">
        <v>2.8400000000000002E-2</v>
      </c>
      <c r="P41" s="2">
        <v>5.0000000000000001E-4</v>
      </c>
      <c r="Q41" s="1">
        <v>1.35E-2</v>
      </c>
    </row>
    <row r="42" spans="1:17" x14ac:dyDescent="0.3">
      <c r="A42" t="s">
        <v>81</v>
      </c>
      <c r="B42" s="2">
        <v>6</v>
      </c>
      <c r="C42" s="1">
        <v>16</v>
      </c>
      <c r="F42" s="1"/>
      <c r="G42" s="2">
        <v>5</v>
      </c>
      <c r="H42">
        <v>75</v>
      </c>
      <c r="I42">
        <v>54</v>
      </c>
      <c r="J42">
        <v>21</v>
      </c>
      <c r="K42" s="1">
        <v>0</v>
      </c>
      <c r="L42" s="2">
        <v>3.4099999999999998E-2</v>
      </c>
      <c r="M42" s="2">
        <v>2.3599999999999999E-2</v>
      </c>
      <c r="N42" s="2">
        <v>0.02</v>
      </c>
      <c r="O42" s="2">
        <v>1.6999999999999999E-3</v>
      </c>
      <c r="P42" s="2">
        <v>1.0200000000000001E-2</v>
      </c>
      <c r="Q42" s="1">
        <v>3.2000000000000002E-3</v>
      </c>
    </row>
    <row r="43" spans="1:17" x14ac:dyDescent="0.3">
      <c r="A43" t="s">
        <v>82</v>
      </c>
      <c r="B43" s="2">
        <v>6</v>
      </c>
      <c r="C43" s="1">
        <v>16</v>
      </c>
      <c r="F43" s="1"/>
      <c r="G43" s="2">
        <v>5</v>
      </c>
      <c r="H43">
        <v>72</v>
      </c>
      <c r="I43">
        <v>48</v>
      </c>
      <c r="J43">
        <v>24</v>
      </c>
      <c r="K43" s="1">
        <v>0</v>
      </c>
      <c r="L43" s="2">
        <v>1.7899999999999999E-2</v>
      </c>
      <c r="M43" s="2">
        <v>3.5299999999999998E-2</v>
      </c>
      <c r="N43" s="2">
        <v>2.8899999999999999E-2</v>
      </c>
      <c r="O43" s="2">
        <v>1.7600000000000001E-2</v>
      </c>
      <c r="P43" s="2">
        <v>4.1000000000000003E-3</v>
      </c>
      <c r="Q43" s="1">
        <v>2.4799999999999999E-2</v>
      </c>
    </row>
    <row r="44" spans="1:17" x14ac:dyDescent="0.3">
      <c r="A44"/>
      <c r="F44" s="1"/>
      <c r="K44" s="1"/>
      <c r="N44" s="1"/>
    </row>
    <row r="45" spans="1:17" x14ac:dyDescent="0.3">
      <c r="A45"/>
    </row>
    <row r="46" spans="1:17" x14ac:dyDescent="0.3">
      <c r="A46" t="s">
        <v>45</v>
      </c>
      <c r="B46" s="2">
        <v>8</v>
      </c>
      <c r="C46" s="2">
        <v>2</v>
      </c>
      <c r="G46" s="2">
        <v>0</v>
      </c>
      <c r="H46">
        <v>9</v>
      </c>
      <c r="I46">
        <v>9</v>
      </c>
      <c r="J46">
        <v>0</v>
      </c>
      <c r="K46">
        <v>0</v>
      </c>
      <c r="L46" s="2">
        <v>0.99990000000000001</v>
      </c>
    </row>
    <row r="47" spans="1:17" x14ac:dyDescent="0.3">
      <c r="A47" s="1" t="s">
        <v>44</v>
      </c>
      <c r="B47" s="2">
        <v>8</v>
      </c>
      <c r="C47" s="2">
        <v>2</v>
      </c>
      <c r="G47" s="2">
        <v>4</v>
      </c>
      <c r="H47">
        <v>10</v>
      </c>
      <c r="I47">
        <v>10</v>
      </c>
      <c r="J47">
        <v>0</v>
      </c>
      <c r="K47">
        <v>0</v>
      </c>
      <c r="L47" s="2">
        <v>0.99990000000000001</v>
      </c>
      <c r="M47" s="2">
        <v>0.24990000000000001</v>
      </c>
      <c r="N47" s="2">
        <v>7.7999999999999996E-3</v>
      </c>
      <c r="O47" s="2">
        <v>0</v>
      </c>
      <c r="P47" s="2">
        <v>0</v>
      </c>
    </row>
    <row r="48" spans="1:17" x14ac:dyDescent="0.3">
      <c r="A48" s="1" t="s">
        <v>93</v>
      </c>
      <c r="B48" s="2">
        <v>8</v>
      </c>
      <c r="C48" s="2">
        <v>2</v>
      </c>
      <c r="G48" s="2">
        <v>2</v>
      </c>
      <c r="H48">
        <v>11</v>
      </c>
      <c r="I48">
        <v>10</v>
      </c>
      <c r="J48">
        <v>1</v>
      </c>
      <c r="K48">
        <v>0</v>
      </c>
      <c r="L48" s="2">
        <v>1</v>
      </c>
      <c r="M48" s="2">
        <v>0.39290000000000003</v>
      </c>
      <c r="N48" s="2">
        <v>0.36509999999999998</v>
      </c>
    </row>
    <row r="49" spans="1:18" x14ac:dyDescent="0.3">
      <c r="A49" s="1" t="s">
        <v>94</v>
      </c>
      <c r="B49" s="2">
        <v>8</v>
      </c>
      <c r="C49" s="2">
        <v>2</v>
      </c>
      <c r="G49" s="2">
        <v>0</v>
      </c>
      <c r="H49">
        <v>4</v>
      </c>
      <c r="I49">
        <v>4</v>
      </c>
      <c r="J49">
        <v>0</v>
      </c>
      <c r="K49">
        <v>0</v>
      </c>
      <c r="L49" s="2">
        <v>1</v>
      </c>
    </row>
    <row r="50" spans="1:18" x14ac:dyDescent="0.3">
      <c r="A50" s="1" t="s">
        <v>95</v>
      </c>
      <c r="B50" s="2">
        <v>8</v>
      </c>
      <c r="C50" s="2">
        <v>2</v>
      </c>
      <c r="G50" s="2">
        <v>1</v>
      </c>
      <c r="H50">
        <v>13</v>
      </c>
      <c r="I50">
        <v>13</v>
      </c>
      <c r="J50">
        <v>0</v>
      </c>
      <c r="K50">
        <v>0</v>
      </c>
      <c r="L50" s="2">
        <v>0.99819999999999998</v>
      </c>
      <c r="M50" s="2">
        <v>0.2777</v>
      </c>
    </row>
    <row r="51" spans="1:18" x14ac:dyDescent="0.3">
      <c r="A51" s="1" t="s">
        <v>16</v>
      </c>
      <c r="B51" s="2">
        <v>8</v>
      </c>
      <c r="C51" s="2">
        <v>4</v>
      </c>
      <c r="D51">
        <v>16</v>
      </c>
      <c r="E51">
        <v>1</v>
      </c>
      <c r="F51">
        <v>15</v>
      </c>
      <c r="G51" s="2">
        <v>2</v>
      </c>
      <c r="H51">
        <v>6</v>
      </c>
      <c r="I51">
        <v>4</v>
      </c>
      <c r="J51">
        <v>2</v>
      </c>
      <c r="K51">
        <v>0</v>
      </c>
      <c r="L51" s="2">
        <v>0.98140000000000005</v>
      </c>
      <c r="M51" s="2">
        <v>1.38E-2</v>
      </c>
      <c r="N51" s="2">
        <v>0.87970000000000004</v>
      </c>
    </row>
    <row r="52" spans="1:18" x14ac:dyDescent="0.3">
      <c r="A52" s="1" t="s">
        <v>89</v>
      </c>
      <c r="B52" s="2">
        <v>8</v>
      </c>
      <c r="C52" s="2">
        <v>4</v>
      </c>
      <c r="G52" s="2">
        <v>5</v>
      </c>
      <c r="H52">
        <v>24</v>
      </c>
      <c r="I52">
        <v>16</v>
      </c>
      <c r="J52">
        <v>8</v>
      </c>
      <c r="K52">
        <v>0</v>
      </c>
      <c r="L52" s="2">
        <v>1.2E-2</v>
      </c>
      <c r="M52" s="2">
        <v>2.0999999999999999E-3</v>
      </c>
      <c r="N52" s="2">
        <v>3.2800000000000003E-2</v>
      </c>
      <c r="O52" s="2">
        <v>0.72529999999999994</v>
      </c>
      <c r="P52" s="2">
        <v>0.02</v>
      </c>
      <c r="Q52" s="2">
        <v>1.7600000000000001E-2</v>
      </c>
    </row>
    <row r="53" spans="1:18" x14ac:dyDescent="0.3">
      <c r="A53" s="1" t="s">
        <v>90</v>
      </c>
      <c r="B53" s="2">
        <v>8</v>
      </c>
      <c r="C53" s="2">
        <v>4</v>
      </c>
      <c r="D53">
        <v>23</v>
      </c>
      <c r="E53">
        <v>15</v>
      </c>
      <c r="F53">
        <v>8</v>
      </c>
      <c r="G53" s="2">
        <v>3</v>
      </c>
      <c r="H53">
        <v>16</v>
      </c>
      <c r="I53">
        <v>13</v>
      </c>
      <c r="J53">
        <v>3</v>
      </c>
      <c r="K53">
        <v>0</v>
      </c>
      <c r="L53" s="2">
        <v>1.2999999999999999E-3</v>
      </c>
      <c r="M53" s="2">
        <v>2.9700000000000001E-2</v>
      </c>
      <c r="N53" s="2">
        <v>1.41E-2</v>
      </c>
      <c r="O53" s="2">
        <v>8.6999999999999994E-3</v>
      </c>
    </row>
    <row r="54" spans="1:18" x14ac:dyDescent="0.3">
      <c r="A54" s="1" t="s">
        <v>91</v>
      </c>
      <c r="B54" s="2">
        <v>8</v>
      </c>
      <c r="C54" s="2">
        <v>4</v>
      </c>
      <c r="G54" s="2">
        <v>1</v>
      </c>
      <c r="H54">
        <v>8</v>
      </c>
      <c r="I54">
        <v>7</v>
      </c>
      <c r="J54">
        <v>1</v>
      </c>
      <c r="K54">
        <v>0</v>
      </c>
      <c r="L54" s="2">
        <v>0.99690000000000001</v>
      </c>
      <c r="M54" s="2">
        <v>0.78210000000000002</v>
      </c>
    </row>
    <row r="55" spans="1:18" x14ac:dyDescent="0.3">
      <c r="A55" s="1" t="s">
        <v>92</v>
      </c>
      <c r="B55" s="2">
        <v>8</v>
      </c>
      <c r="C55" s="2">
        <v>4</v>
      </c>
      <c r="D55">
        <v>32</v>
      </c>
      <c r="E55">
        <v>32</v>
      </c>
      <c r="F55">
        <v>0</v>
      </c>
      <c r="G55" s="2">
        <v>5</v>
      </c>
      <c r="H55">
        <v>16</v>
      </c>
      <c r="I55">
        <v>16</v>
      </c>
      <c r="J55">
        <v>0</v>
      </c>
      <c r="K55">
        <v>0</v>
      </c>
      <c r="L55" s="2">
        <v>4.4999999999999998E-2</v>
      </c>
      <c r="M55" s="2">
        <v>4.7000000000000002E-3</v>
      </c>
      <c r="N55" s="2">
        <v>8.6199999999999999E-2</v>
      </c>
      <c r="O55" s="2">
        <v>0</v>
      </c>
      <c r="P55" s="2">
        <v>0.3639</v>
      </c>
      <c r="Q55" s="2">
        <v>2.5499999999999998E-2</v>
      </c>
    </row>
    <row r="56" spans="1:18" x14ac:dyDescent="0.3">
      <c r="A56" s="1" t="s">
        <v>43</v>
      </c>
      <c r="B56" s="2">
        <v>8</v>
      </c>
      <c r="C56" s="2">
        <v>6</v>
      </c>
      <c r="D56">
        <v>42</v>
      </c>
      <c r="E56">
        <v>36</v>
      </c>
      <c r="F56">
        <v>6</v>
      </c>
      <c r="G56" s="2">
        <v>5</v>
      </c>
      <c r="H56">
        <v>35</v>
      </c>
      <c r="I56">
        <v>24</v>
      </c>
      <c r="J56">
        <v>11</v>
      </c>
      <c r="K56">
        <v>0</v>
      </c>
      <c r="L56" s="2">
        <v>8.9999999999999998E-4</v>
      </c>
      <c r="M56" s="2">
        <v>4.1999999999999997E-3</v>
      </c>
      <c r="N56" s="2">
        <v>9.1999999999999998E-2</v>
      </c>
      <c r="O56" s="2">
        <v>1.7000000000000001E-2</v>
      </c>
      <c r="P56" s="2">
        <v>3.0999999999999999E-3</v>
      </c>
      <c r="Q56" s="2">
        <v>0.1772</v>
      </c>
    </row>
    <row r="57" spans="1:18" x14ac:dyDescent="0.3">
      <c r="A57" s="1" t="s">
        <v>42</v>
      </c>
      <c r="B57" s="2">
        <v>8</v>
      </c>
      <c r="C57" s="2">
        <v>6</v>
      </c>
      <c r="D57">
        <v>27</v>
      </c>
      <c r="E57">
        <v>6</v>
      </c>
      <c r="F57">
        <v>21</v>
      </c>
      <c r="G57" s="2">
        <v>2</v>
      </c>
      <c r="H57">
        <v>29</v>
      </c>
      <c r="I57">
        <v>18</v>
      </c>
      <c r="J57">
        <v>11</v>
      </c>
      <c r="K57">
        <v>0</v>
      </c>
      <c r="L57" s="2">
        <v>3.3999999999999998E-3</v>
      </c>
      <c r="M57" s="2">
        <v>2.0000000000000001E-4</v>
      </c>
      <c r="N57" s="2">
        <v>2.9999999999999997E-4</v>
      </c>
      <c r="R57" t="s">
        <v>108</v>
      </c>
    </row>
    <row r="58" spans="1:18" x14ac:dyDescent="0.3">
      <c r="A58" s="1" t="s">
        <v>86</v>
      </c>
      <c r="B58" s="2">
        <v>8</v>
      </c>
      <c r="C58" s="2">
        <v>6</v>
      </c>
      <c r="D58">
        <v>38</v>
      </c>
      <c r="E58">
        <v>28</v>
      </c>
      <c r="F58">
        <v>10</v>
      </c>
      <c r="G58" s="2">
        <v>5</v>
      </c>
      <c r="H58">
        <v>36</v>
      </c>
      <c r="I58">
        <v>24</v>
      </c>
      <c r="J58">
        <v>12</v>
      </c>
      <c r="K58">
        <v>0</v>
      </c>
      <c r="L58" s="2">
        <v>4.1000000000000003E-3</v>
      </c>
      <c r="M58" s="2">
        <v>2.9999999999999997E-4</v>
      </c>
      <c r="N58" s="2">
        <v>2.0000000000000001E-4</v>
      </c>
      <c r="O58" s="2">
        <v>2.8E-3</v>
      </c>
      <c r="P58" s="2">
        <v>8.0000000000000004E-4</v>
      </c>
      <c r="Q58" s="2">
        <v>1.4E-2</v>
      </c>
    </row>
    <row r="59" spans="1:18" x14ac:dyDescent="0.3">
      <c r="A59" s="1" t="s">
        <v>87</v>
      </c>
      <c r="B59" s="2">
        <v>8</v>
      </c>
      <c r="C59" s="2">
        <v>6</v>
      </c>
      <c r="D59">
        <v>42</v>
      </c>
      <c r="E59">
        <v>36</v>
      </c>
      <c r="F59">
        <v>6</v>
      </c>
      <c r="G59" s="2">
        <v>5</v>
      </c>
      <c r="H59">
        <v>40</v>
      </c>
      <c r="I59">
        <v>32</v>
      </c>
      <c r="J59">
        <v>8</v>
      </c>
      <c r="K59">
        <v>0</v>
      </c>
      <c r="L59" s="2">
        <v>1E-4</v>
      </c>
      <c r="M59" s="2">
        <v>9.8799999999999999E-2</v>
      </c>
      <c r="N59" s="2">
        <v>4.6600000000000003E-2</v>
      </c>
      <c r="O59" s="2">
        <v>1.21E-2</v>
      </c>
      <c r="P59" s="2">
        <v>0</v>
      </c>
      <c r="Q59" s="2">
        <v>0</v>
      </c>
    </row>
    <row r="60" spans="1:18" x14ac:dyDescent="0.3">
      <c r="A60" s="1" t="s">
        <v>88</v>
      </c>
      <c r="B60" s="2">
        <v>8</v>
      </c>
      <c r="C60" s="2">
        <v>6</v>
      </c>
      <c r="D60">
        <v>26</v>
      </c>
      <c r="E60">
        <v>6</v>
      </c>
      <c r="F60">
        <v>20</v>
      </c>
      <c r="G60" s="2">
        <v>5</v>
      </c>
      <c r="H60">
        <v>60</v>
      </c>
      <c r="I60">
        <v>48</v>
      </c>
      <c r="J60">
        <v>12</v>
      </c>
      <c r="K60">
        <v>0</v>
      </c>
      <c r="L60" s="2">
        <v>5.1000000000000004E-3</v>
      </c>
      <c r="M60" s="2">
        <v>6.9999999999999999E-4</v>
      </c>
      <c r="N60" s="2">
        <v>2.9999999999999997E-4</v>
      </c>
      <c r="O60" s="2">
        <v>1.0999999999999999E-2</v>
      </c>
      <c r="P60" s="2">
        <v>3.2599999999999997E-2</v>
      </c>
      <c r="Q60" s="2">
        <v>5.0000000000000001E-4</v>
      </c>
    </row>
    <row r="61" spans="1:18" x14ac:dyDescent="0.3">
      <c r="A61" s="1" t="s">
        <v>41</v>
      </c>
      <c r="B61" s="2">
        <v>8</v>
      </c>
      <c r="C61" s="2">
        <v>8</v>
      </c>
      <c r="D61">
        <v>59</v>
      </c>
      <c r="E61">
        <v>54</v>
      </c>
      <c r="F61">
        <v>5</v>
      </c>
      <c r="G61" s="2">
        <v>5</v>
      </c>
      <c r="H61">
        <v>48</v>
      </c>
      <c r="I61">
        <v>32</v>
      </c>
      <c r="J61">
        <v>16</v>
      </c>
      <c r="K61">
        <v>0</v>
      </c>
      <c r="L61" s="2">
        <v>5.9999999999999995E-4</v>
      </c>
      <c r="M61" s="2">
        <v>5.0000000000000001E-3</v>
      </c>
      <c r="N61" s="2">
        <v>1.4E-3</v>
      </c>
      <c r="O61" s="2">
        <v>1.8E-3</v>
      </c>
      <c r="P61" s="2">
        <v>1.6999999999999999E-3</v>
      </c>
      <c r="Q61" s="2">
        <v>8.0000000000000002E-3</v>
      </c>
    </row>
    <row r="62" spans="1:18" x14ac:dyDescent="0.3">
      <c r="A62" s="1" t="s">
        <v>40</v>
      </c>
      <c r="B62" s="2">
        <v>8</v>
      </c>
      <c r="C62" s="2">
        <v>8</v>
      </c>
      <c r="D62">
        <v>42</v>
      </c>
      <c r="E62">
        <v>20</v>
      </c>
      <c r="F62">
        <v>22</v>
      </c>
      <c r="G62" s="2">
        <v>5</v>
      </c>
      <c r="H62">
        <v>48</v>
      </c>
      <c r="I62">
        <v>32</v>
      </c>
      <c r="J62">
        <v>16</v>
      </c>
      <c r="K62">
        <v>0</v>
      </c>
      <c r="L62" s="2">
        <v>6.8999999999999999E-3</v>
      </c>
      <c r="M62" s="2">
        <v>0.31080000000000002</v>
      </c>
      <c r="N62" s="2">
        <v>8.9999999999999998E-4</v>
      </c>
      <c r="O62" s="2">
        <v>0</v>
      </c>
      <c r="P62" s="2">
        <v>1E-4</v>
      </c>
      <c r="Q62" s="2">
        <v>1.9E-3</v>
      </c>
    </row>
    <row r="63" spans="1:18" x14ac:dyDescent="0.3">
      <c r="A63" s="1" t="s">
        <v>83</v>
      </c>
      <c r="B63" s="2">
        <v>8</v>
      </c>
      <c r="C63" s="2">
        <v>8</v>
      </c>
      <c r="D63">
        <v>51</v>
      </c>
      <c r="E63">
        <v>39</v>
      </c>
      <c r="F63">
        <v>12</v>
      </c>
      <c r="G63" s="2">
        <v>5</v>
      </c>
      <c r="H63">
        <v>48</v>
      </c>
      <c r="I63">
        <v>32</v>
      </c>
      <c r="J63">
        <v>16</v>
      </c>
      <c r="K63">
        <v>0</v>
      </c>
      <c r="L63" s="2">
        <v>4.7999999999999996E-3</v>
      </c>
      <c r="M63" s="2">
        <v>6.7999999999999996E-3</v>
      </c>
      <c r="N63" s="2">
        <v>1.8599999999999998E-2</v>
      </c>
      <c r="O63" s="2">
        <v>2.5000000000000001E-3</v>
      </c>
      <c r="P63" s="2">
        <v>4.7000000000000002E-3</v>
      </c>
      <c r="Q63" s="2">
        <v>9.4000000000000004E-3</v>
      </c>
    </row>
    <row r="64" spans="1:18" x14ac:dyDescent="0.3">
      <c r="A64" s="1" t="s">
        <v>84</v>
      </c>
      <c r="B64" s="2">
        <v>8</v>
      </c>
      <c r="C64" s="2">
        <v>8</v>
      </c>
      <c r="D64">
        <v>48</v>
      </c>
      <c r="E64">
        <v>33</v>
      </c>
      <c r="F64">
        <v>15</v>
      </c>
      <c r="G64" s="2">
        <v>5</v>
      </c>
      <c r="H64">
        <v>48</v>
      </c>
      <c r="I64">
        <v>32</v>
      </c>
      <c r="J64">
        <v>16</v>
      </c>
      <c r="K64">
        <v>0</v>
      </c>
      <c r="L64" s="2">
        <v>2.3E-3</v>
      </c>
      <c r="M64" s="2">
        <v>0</v>
      </c>
      <c r="N64" s="2">
        <v>0</v>
      </c>
      <c r="O64" s="2">
        <v>1.1000000000000001E-3</v>
      </c>
      <c r="P64" s="2">
        <v>5.3699999999999998E-2</v>
      </c>
      <c r="Q64" s="2">
        <v>2E-3</v>
      </c>
    </row>
    <row r="65" spans="1:18" x14ac:dyDescent="0.3">
      <c r="A65" s="1" t="s">
        <v>85</v>
      </c>
      <c r="B65" s="2">
        <v>8</v>
      </c>
      <c r="C65" s="2">
        <v>8</v>
      </c>
      <c r="D65">
        <v>37</v>
      </c>
      <c r="E65">
        <v>10</v>
      </c>
      <c r="F65">
        <v>27</v>
      </c>
      <c r="G65" s="2">
        <v>5</v>
      </c>
      <c r="H65">
        <v>52</v>
      </c>
      <c r="I65">
        <v>40</v>
      </c>
      <c r="J65">
        <v>12</v>
      </c>
      <c r="K65">
        <v>0</v>
      </c>
      <c r="L65" s="2">
        <v>0</v>
      </c>
      <c r="M65" s="2">
        <v>9.4999999999999998E-3</v>
      </c>
      <c r="N65" s="2">
        <v>1E-3</v>
      </c>
      <c r="O65" s="2">
        <v>1.1000000000000001E-3</v>
      </c>
      <c r="P65" s="2">
        <v>1.6999999999999999E-3</v>
      </c>
      <c r="Q65" s="2">
        <v>2.0000000000000001E-4</v>
      </c>
    </row>
    <row r="66" spans="1:18" x14ac:dyDescent="0.3">
      <c r="A66" s="1" t="s">
        <v>39</v>
      </c>
      <c r="B66" s="2">
        <v>8</v>
      </c>
      <c r="C66" s="2">
        <v>10</v>
      </c>
      <c r="D66">
        <v>41</v>
      </c>
      <c r="E66">
        <v>7</v>
      </c>
      <c r="F66">
        <v>34</v>
      </c>
      <c r="G66" s="2">
        <v>5</v>
      </c>
      <c r="H66">
        <v>64</v>
      </c>
      <c r="I66">
        <v>48</v>
      </c>
      <c r="J66">
        <v>16</v>
      </c>
      <c r="K66">
        <v>0</v>
      </c>
      <c r="L66" s="2">
        <v>6.4999999999999997E-3</v>
      </c>
      <c r="M66" s="2">
        <v>1.1900000000000001E-2</v>
      </c>
      <c r="N66" s="2">
        <v>1.2E-2</v>
      </c>
      <c r="O66" s="2">
        <v>2E-3</v>
      </c>
      <c r="P66" s="2">
        <v>3.5000000000000001E-3</v>
      </c>
      <c r="Q66" s="2">
        <v>5.9999999999999995E-4</v>
      </c>
    </row>
    <row r="67" spans="1:18" x14ac:dyDescent="0.3">
      <c r="A67" s="1" t="s">
        <v>38</v>
      </c>
      <c r="B67" s="2">
        <v>8</v>
      </c>
      <c r="C67" s="2">
        <v>10</v>
      </c>
      <c r="D67">
        <v>48</v>
      </c>
      <c r="E67">
        <v>21</v>
      </c>
      <c r="F67">
        <v>27</v>
      </c>
      <c r="G67" s="2">
        <v>4</v>
      </c>
      <c r="H67">
        <v>60</v>
      </c>
      <c r="I67">
        <v>40</v>
      </c>
      <c r="J67">
        <v>20</v>
      </c>
      <c r="K67">
        <v>0</v>
      </c>
      <c r="L67" s="2">
        <v>9.2999999999999992E-3</v>
      </c>
      <c r="M67" s="2">
        <v>2.0999999999999999E-3</v>
      </c>
      <c r="N67" s="2">
        <v>3.5999999999999999E-3</v>
      </c>
      <c r="O67" s="2">
        <v>1.21E-2</v>
      </c>
      <c r="P67" s="2">
        <v>1.5E-3</v>
      </c>
      <c r="R67" t="s">
        <v>108</v>
      </c>
    </row>
    <row r="68" spans="1:18" x14ac:dyDescent="0.3">
      <c r="A68" s="1" t="s">
        <v>96</v>
      </c>
      <c r="B68" s="2">
        <v>8</v>
      </c>
      <c r="C68" s="2">
        <v>10</v>
      </c>
      <c r="D68">
        <v>51</v>
      </c>
      <c r="E68">
        <v>25</v>
      </c>
      <c r="F68">
        <v>26</v>
      </c>
      <c r="G68" s="2">
        <v>5</v>
      </c>
      <c r="H68">
        <v>64</v>
      </c>
      <c r="I68">
        <v>48</v>
      </c>
      <c r="J68">
        <v>16</v>
      </c>
      <c r="K68">
        <v>0</v>
      </c>
      <c r="L68" s="2">
        <v>2.8999999999999998E-3</v>
      </c>
      <c r="M68" s="2">
        <v>2.5000000000000001E-3</v>
      </c>
      <c r="N68" s="2">
        <v>1.5E-3</v>
      </c>
      <c r="O68" s="2">
        <v>8.9999999999999993E-3</v>
      </c>
      <c r="P68" s="2">
        <v>1.4E-3</v>
      </c>
      <c r="Q68" s="2">
        <v>2.8E-3</v>
      </c>
    </row>
    <row r="69" spans="1:18" x14ac:dyDescent="0.3">
      <c r="A69" s="1" t="s">
        <v>109</v>
      </c>
      <c r="B69" s="2">
        <v>8</v>
      </c>
      <c r="C69" s="2">
        <v>10</v>
      </c>
      <c r="D69">
        <v>65</v>
      </c>
      <c r="E69">
        <v>53</v>
      </c>
      <c r="F69">
        <v>12</v>
      </c>
      <c r="G69" s="2">
        <v>5</v>
      </c>
      <c r="H69">
        <v>64</v>
      </c>
      <c r="I69">
        <v>48</v>
      </c>
      <c r="J69">
        <v>16</v>
      </c>
      <c r="K69">
        <v>0</v>
      </c>
      <c r="L69" s="2">
        <v>2.0999999999999999E-3</v>
      </c>
      <c r="M69" s="2">
        <v>1.5E-3</v>
      </c>
      <c r="N69" s="2">
        <v>1.1000000000000001E-3</v>
      </c>
      <c r="O69" s="2">
        <v>2E-3</v>
      </c>
      <c r="P69" s="2">
        <v>1.6000000000000001E-3</v>
      </c>
      <c r="Q69" s="2">
        <v>6.1000000000000004E-3</v>
      </c>
    </row>
    <row r="70" spans="1:18" x14ac:dyDescent="0.3">
      <c r="A70" s="1" t="s">
        <v>110</v>
      </c>
      <c r="B70" s="2">
        <v>8</v>
      </c>
      <c r="C70" s="2">
        <v>10</v>
      </c>
      <c r="D70">
        <v>73</v>
      </c>
      <c r="E70">
        <v>67</v>
      </c>
      <c r="F70">
        <v>6</v>
      </c>
      <c r="G70" s="2">
        <v>5</v>
      </c>
      <c r="H70">
        <v>64</v>
      </c>
      <c r="I70">
        <v>48</v>
      </c>
      <c r="J70">
        <v>16</v>
      </c>
      <c r="K70">
        <v>0</v>
      </c>
      <c r="L70" s="2">
        <v>1.0999999999999999E-2</v>
      </c>
      <c r="M70" s="2">
        <v>1.0800000000000001E-2</v>
      </c>
      <c r="N70" s="2">
        <v>3.0200000000000001E-2</v>
      </c>
      <c r="O70" s="2">
        <v>4.4699999999999997E-2</v>
      </c>
      <c r="P70" s="2">
        <v>3.3700000000000001E-2</v>
      </c>
      <c r="Q70" s="2">
        <v>3.0000000000000001E-3</v>
      </c>
    </row>
    <row r="71" spans="1:18" x14ac:dyDescent="0.3">
      <c r="A71" s="1" t="s">
        <v>37</v>
      </c>
      <c r="B71" s="2">
        <v>8</v>
      </c>
      <c r="C71" s="2">
        <v>12</v>
      </c>
      <c r="D71">
        <v>70</v>
      </c>
      <c r="E71">
        <v>48</v>
      </c>
      <c r="F71">
        <v>22</v>
      </c>
      <c r="G71" s="2">
        <v>5</v>
      </c>
      <c r="H71">
        <v>72</v>
      </c>
      <c r="I71">
        <v>48</v>
      </c>
      <c r="J71">
        <v>24</v>
      </c>
      <c r="K71">
        <v>0</v>
      </c>
      <c r="L71" s="2">
        <v>0</v>
      </c>
      <c r="M71" s="2">
        <v>2.9999999999999997E-4</v>
      </c>
      <c r="N71" s="2">
        <v>8.0000000000000004E-4</v>
      </c>
      <c r="O71" s="2">
        <v>1.8E-3</v>
      </c>
      <c r="P71" s="2">
        <v>1.4E-3</v>
      </c>
      <c r="Q71" s="2">
        <v>1.77E-2</v>
      </c>
    </row>
    <row r="72" spans="1:18" x14ac:dyDescent="0.3">
      <c r="A72" s="1" t="s">
        <v>36</v>
      </c>
      <c r="B72" s="2">
        <v>8</v>
      </c>
      <c r="C72" s="2">
        <v>12</v>
      </c>
      <c r="D72">
        <v>68</v>
      </c>
      <c r="E72">
        <v>41</v>
      </c>
      <c r="F72">
        <v>27</v>
      </c>
      <c r="G72" s="2">
        <v>5</v>
      </c>
      <c r="H72">
        <v>76</v>
      </c>
      <c r="I72">
        <v>56</v>
      </c>
      <c r="J72">
        <v>20</v>
      </c>
      <c r="K72">
        <v>0</v>
      </c>
      <c r="L72" s="2">
        <v>7.1999999999999998E-3</v>
      </c>
      <c r="M72" s="2">
        <v>1E-3</v>
      </c>
      <c r="N72" s="2">
        <v>7.1000000000000004E-3</v>
      </c>
      <c r="O72" s="2">
        <v>1.6000000000000001E-3</v>
      </c>
      <c r="P72" s="2">
        <v>8.0000000000000004E-4</v>
      </c>
      <c r="Q72" s="2">
        <v>2.7000000000000001E-3</v>
      </c>
    </row>
    <row r="73" spans="1:18" x14ac:dyDescent="0.3">
      <c r="A73" s="1" t="s">
        <v>111</v>
      </c>
      <c r="B73" s="2">
        <v>8</v>
      </c>
      <c r="C73" s="2">
        <v>12</v>
      </c>
      <c r="D73">
        <v>79</v>
      </c>
      <c r="E73">
        <v>66</v>
      </c>
      <c r="F73">
        <v>13</v>
      </c>
      <c r="G73" s="2">
        <v>5</v>
      </c>
      <c r="H73">
        <v>72</v>
      </c>
      <c r="I73">
        <v>48</v>
      </c>
      <c r="J73">
        <v>24</v>
      </c>
      <c r="K73">
        <v>0</v>
      </c>
      <c r="L73" s="2">
        <v>1.5E-3</v>
      </c>
      <c r="M73" s="2">
        <v>1E-4</v>
      </c>
      <c r="N73" s="2">
        <v>3.0999999999999999E-3</v>
      </c>
      <c r="O73" s="2">
        <v>4.1999999999999997E-3</v>
      </c>
      <c r="P73" s="2">
        <v>5.1999999999999998E-3</v>
      </c>
      <c r="Q73" s="2">
        <v>7.1000000000000004E-3</v>
      </c>
    </row>
    <row r="74" spans="1:18" x14ac:dyDescent="0.3">
      <c r="A74" s="1" t="s">
        <v>112</v>
      </c>
      <c r="B74" s="2">
        <v>8</v>
      </c>
      <c r="C74" s="2">
        <v>12</v>
      </c>
      <c r="D74">
        <v>57</v>
      </c>
      <c r="E74">
        <v>20</v>
      </c>
      <c r="F74">
        <v>37</v>
      </c>
      <c r="G74" s="2">
        <v>5</v>
      </c>
      <c r="H74">
        <v>60</v>
      </c>
      <c r="I74">
        <v>42</v>
      </c>
      <c r="J74">
        <v>18</v>
      </c>
      <c r="K74">
        <v>0</v>
      </c>
      <c r="L74" s="2">
        <v>1.4500000000000001E-2</v>
      </c>
      <c r="M74" s="2">
        <v>1.8200000000000001E-2</v>
      </c>
      <c r="N74" s="2">
        <v>1.44E-2</v>
      </c>
      <c r="O74" s="2">
        <v>1.6400000000000001E-2</v>
      </c>
      <c r="P74" s="2">
        <v>1.2999999999999999E-3</v>
      </c>
      <c r="Q74" s="2">
        <v>5.5999999999999999E-3</v>
      </c>
    </row>
    <row r="75" spans="1:18" x14ac:dyDescent="0.3">
      <c r="A75" s="1" t="s">
        <v>113</v>
      </c>
      <c r="B75" s="2">
        <v>8</v>
      </c>
      <c r="C75" s="2">
        <v>12</v>
      </c>
      <c r="D75">
        <v>76</v>
      </c>
      <c r="E75">
        <v>58</v>
      </c>
      <c r="F75">
        <v>18</v>
      </c>
      <c r="G75" s="2">
        <v>5</v>
      </c>
      <c r="H75">
        <v>72</v>
      </c>
      <c r="I75">
        <v>48</v>
      </c>
      <c r="J75">
        <v>24</v>
      </c>
      <c r="K75">
        <v>0</v>
      </c>
      <c r="L75" s="2">
        <v>1.6400000000000001E-2</v>
      </c>
      <c r="M75" s="2">
        <v>4.7000000000000002E-3</v>
      </c>
      <c r="N75" s="2">
        <v>0</v>
      </c>
      <c r="O75" s="2">
        <v>1.5E-3</v>
      </c>
      <c r="P75" s="2">
        <v>2.9999999999999997E-4</v>
      </c>
      <c r="Q75" s="2">
        <v>2.3999999999999998E-3</v>
      </c>
    </row>
    <row r="76" spans="1:18" x14ac:dyDescent="0.3">
      <c r="A76" s="1" t="s">
        <v>35</v>
      </c>
      <c r="B76" s="2">
        <v>8</v>
      </c>
      <c r="C76" s="2">
        <v>14</v>
      </c>
      <c r="D76">
        <v>72</v>
      </c>
      <c r="E76">
        <v>36</v>
      </c>
      <c r="F76">
        <v>36</v>
      </c>
      <c r="G76" s="2">
        <v>4</v>
      </c>
      <c r="H76">
        <v>88</v>
      </c>
      <c r="I76">
        <v>64</v>
      </c>
      <c r="J76">
        <v>24</v>
      </c>
      <c r="K76">
        <v>0</v>
      </c>
      <c r="L76" s="2">
        <v>3.3E-3</v>
      </c>
      <c r="M76" s="2">
        <v>2.2000000000000001E-3</v>
      </c>
      <c r="N76" s="2">
        <v>4.4999999999999997E-3</v>
      </c>
      <c r="O76" s="2">
        <v>5.0000000000000001E-3</v>
      </c>
      <c r="P76" s="2">
        <v>6.7999999999999996E-3</v>
      </c>
    </row>
    <row r="77" spans="1:18" x14ac:dyDescent="0.3">
      <c r="A77" s="1" t="s">
        <v>28</v>
      </c>
      <c r="B77" s="2">
        <v>8</v>
      </c>
      <c r="C77" s="2">
        <v>14</v>
      </c>
      <c r="D77">
        <v>76</v>
      </c>
      <c r="E77">
        <v>42</v>
      </c>
      <c r="F77">
        <v>34</v>
      </c>
      <c r="G77" s="2">
        <v>4</v>
      </c>
      <c r="H77">
        <v>88</v>
      </c>
      <c r="I77">
        <v>64</v>
      </c>
      <c r="J77">
        <v>24</v>
      </c>
      <c r="K77">
        <v>0</v>
      </c>
      <c r="L77" s="2">
        <v>1.6999999999999999E-3</v>
      </c>
      <c r="M77" s="2">
        <v>8.0000000000000004E-4</v>
      </c>
      <c r="N77" s="2">
        <v>8.0000000000000004E-4</v>
      </c>
      <c r="O77" s="2">
        <v>1.6000000000000001E-3</v>
      </c>
      <c r="P77" s="2">
        <v>4.8999999999999998E-3</v>
      </c>
    </row>
    <row r="78" spans="1:18" x14ac:dyDescent="0.3">
      <c r="A78" t="s">
        <v>114</v>
      </c>
      <c r="B78" s="2">
        <v>8</v>
      </c>
      <c r="C78" s="1">
        <v>14</v>
      </c>
      <c r="D78">
        <v>68</v>
      </c>
      <c r="E78">
        <v>30</v>
      </c>
      <c r="F78">
        <v>38</v>
      </c>
      <c r="G78" s="2">
        <v>2</v>
      </c>
      <c r="H78">
        <v>84</v>
      </c>
      <c r="I78">
        <v>56</v>
      </c>
      <c r="J78">
        <v>28</v>
      </c>
      <c r="K78">
        <v>0</v>
      </c>
      <c r="L78" s="2">
        <v>1.6999999999999999E-3</v>
      </c>
      <c r="M78" s="3">
        <v>2.0999999999999999E-3</v>
      </c>
      <c r="N78" s="2">
        <v>1.1299999999999999E-2</v>
      </c>
      <c r="O78"/>
      <c r="Q78" s="1"/>
    </row>
    <row r="79" spans="1:18" x14ac:dyDescent="0.3">
      <c r="A79" t="s">
        <v>115</v>
      </c>
      <c r="B79" s="2">
        <v>8</v>
      </c>
      <c r="C79" s="1">
        <v>14</v>
      </c>
      <c r="D79">
        <v>69</v>
      </c>
      <c r="E79">
        <v>31</v>
      </c>
      <c r="F79">
        <v>38</v>
      </c>
      <c r="G79" s="2">
        <v>5</v>
      </c>
      <c r="H79">
        <v>96</v>
      </c>
      <c r="I79">
        <v>80</v>
      </c>
      <c r="J79">
        <v>16</v>
      </c>
      <c r="K79">
        <v>0</v>
      </c>
      <c r="L79" s="1">
        <v>5.1000000000000004E-3</v>
      </c>
      <c r="M79">
        <v>4.0000000000000001E-3</v>
      </c>
      <c r="N79" s="3">
        <v>7.7000000000000002E-3</v>
      </c>
      <c r="O79" s="3">
        <v>1E-4</v>
      </c>
      <c r="P79" s="2">
        <v>8.3000000000000001E-3</v>
      </c>
      <c r="Q79" s="1">
        <v>6.4000000000000003E-3</v>
      </c>
    </row>
    <row r="80" spans="1:18" x14ac:dyDescent="0.3">
      <c r="A80" t="s">
        <v>116</v>
      </c>
      <c r="B80" s="2">
        <v>8</v>
      </c>
      <c r="C80" s="1">
        <v>14</v>
      </c>
      <c r="D80">
        <v>102</v>
      </c>
      <c r="E80">
        <v>94</v>
      </c>
      <c r="F80">
        <v>8</v>
      </c>
      <c r="G80" s="2">
        <v>5</v>
      </c>
      <c r="H80">
        <v>84</v>
      </c>
      <c r="I80">
        <v>56</v>
      </c>
      <c r="J80">
        <v>28</v>
      </c>
      <c r="K80">
        <v>0</v>
      </c>
      <c r="L80" s="1">
        <v>4.0000000000000002E-4</v>
      </c>
      <c r="M80">
        <v>5.9999999999999995E-4</v>
      </c>
      <c r="N80" s="3">
        <v>0</v>
      </c>
      <c r="O80" s="3">
        <v>4.4999999999999997E-3</v>
      </c>
      <c r="P80" s="2">
        <v>1.5E-3</v>
      </c>
      <c r="Q80" s="1">
        <v>1.2699999999999999E-2</v>
      </c>
    </row>
    <row r="82" spans="1:17" x14ac:dyDescent="0.3">
      <c r="A82" s="1" t="s">
        <v>17</v>
      </c>
      <c r="B82" s="2">
        <v>10</v>
      </c>
      <c r="C82" s="2">
        <v>4</v>
      </c>
      <c r="D82">
        <v>23</v>
      </c>
      <c r="E82">
        <v>7</v>
      </c>
      <c r="F82">
        <v>16</v>
      </c>
      <c r="G82" s="2">
        <v>5</v>
      </c>
      <c r="H82">
        <v>30</v>
      </c>
      <c r="I82">
        <v>20</v>
      </c>
      <c r="J82">
        <v>10</v>
      </c>
      <c r="K82">
        <v>0</v>
      </c>
      <c r="L82" s="2">
        <v>8.0000000000000002E-3</v>
      </c>
      <c r="M82" s="2">
        <v>2.0000000000000001E-4</v>
      </c>
      <c r="N82" s="2">
        <v>0.16739999999999999</v>
      </c>
      <c r="O82" s="2">
        <v>8.9999999999999998E-4</v>
      </c>
      <c r="P82" s="2">
        <v>3.5999999999999999E-3</v>
      </c>
      <c r="Q82" s="2">
        <v>1.47E-2</v>
      </c>
    </row>
    <row r="83" spans="1:17" x14ac:dyDescent="0.3">
      <c r="A83" s="1" t="s">
        <v>21</v>
      </c>
      <c r="B83" s="2">
        <v>10</v>
      </c>
      <c r="C83" s="2">
        <v>4</v>
      </c>
      <c r="D83">
        <v>26</v>
      </c>
      <c r="E83">
        <v>12</v>
      </c>
      <c r="F83">
        <v>14</v>
      </c>
      <c r="G83" s="2">
        <v>5</v>
      </c>
      <c r="H83">
        <v>30</v>
      </c>
      <c r="I83">
        <v>20</v>
      </c>
      <c r="J83">
        <v>10</v>
      </c>
      <c r="K83">
        <v>0</v>
      </c>
      <c r="L83" s="2">
        <v>5.9999999999999995E-4</v>
      </c>
      <c r="M83" s="2">
        <v>4.0000000000000002E-4</v>
      </c>
      <c r="N83" s="2">
        <v>2.8E-3</v>
      </c>
      <c r="O83" s="2">
        <v>1.5599999999999999E-2</v>
      </c>
      <c r="P83" s="2">
        <v>2.9999999999999997E-4</v>
      </c>
      <c r="Q83" s="2">
        <v>2.0899999999999998E-2</v>
      </c>
    </row>
    <row r="84" spans="1:17" x14ac:dyDescent="0.3">
      <c r="A84" s="1" t="s">
        <v>135</v>
      </c>
      <c r="B84" s="2">
        <v>10</v>
      </c>
      <c r="C84" s="2">
        <v>4</v>
      </c>
      <c r="D84">
        <v>23</v>
      </c>
      <c r="E84">
        <v>7</v>
      </c>
      <c r="F84">
        <v>16</v>
      </c>
      <c r="G84" s="2">
        <v>5</v>
      </c>
      <c r="H84">
        <v>36</v>
      </c>
      <c r="I84">
        <v>30</v>
      </c>
      <c r="J84">
        <v>6</v>
      </c>
      <c r="K84">
        <v>0</v>
      </c>
      <c r="L84" s="2">
        <v>5.7200000000000001E-2</v>
      </c>
      <c r="M84" s="2">
        <v>4.7000000000000002E-3</v>
      </c>
      <c r="N84" s="2">
        <v>2.7300000000000001E-2</v>
      </c>
      <c r="O84" s="2">
        <v>5.0299999999999997E-2</v>
      </c>
      <c r="P84" s="2">
        <v>2.1499999999999998E-2</v>
      </c>
      <c r="Q84" s="2">
        <v>7.8899999999999998E-2</v>
      </c>
    </row>
    <row r="85" spans="1:17" x14ac:dyDescent="0.3">
      <c r="A85" s="1" t="s">
        <v>136</v>
      </c>
      <c r="B85" s="2">
        <v>10</v>
      </c>
      <c r="C85" s="2">
        <v>4</v>
      </c>
      <c r="D85">
        <v>33</v>
      </c>
      <c r="E85">
        <v>27</v>
      </c>
      <c r="F85">
        <v>6</v>
      </c>
      <c r="G85" s="2">
        <v>5</v>
      </c>
      <c r="H85">
        <v>35</v>
      </c>
      <c r="I85">
        <v>30</v>
      </c>
      <c r="J85">
        <v>5</v>
      </c>
      <c r="K85">
        <v>0</v>
      </c>
      <c r="L85" s="2">
        <v>4.5999999999999999E-3</v>
      </c>
      <c r="M85" s="2">
        <v>1E-4</v>
      </c>
      <c r="N85" s="2">
        <v>1.1000000000000001E-3</v>
      </c>
      <c r="O85" s="2">
        <v>4.0000000000000002E-4</v>
      </c>
      <c r="P85" s="2">
        <v>4.0000000000000002E-4</v>
      </c>
      <c r="Q85" s="2">
        <v>3.5999999999999999E-3</v>
      </c>
    </row>
    <row r="86" spans="1:17" x14ac:dyDescent="0.3">
      <c r="A86" s="1" t="s">
        <v>137</v>
      </c>
      <c r="B86" s="2">
        <v>10</v>
      </c>
      <c r="C86" s="2">
        <v>4</v>
      </c>
      <c r="D86">
        <v>31</v>
      </c>
      <c r="E86">
        <v>23</v>
      </c>
      <c r="F86">
        <v>8</v>
      </c>
      <c r="G86" s="2">
        <v>5</v>
      </c>
      <c r="H86">
        <v>30</v>
      </c>
      <c r="I86">
        <v>20</v>
      </c>
      <c r="J86">
        <v>10</v>
      </c>
      <c r="K86">
        <v>0</v>
      </c>
      <c r="L86" s="2">
        <v>0</v>
      </c>
      <c r="M86" s="2">
        <v>1.8E-3</v>
      </c>
      <c r="N86" s="2">
        <v>1E-4</v>
      </c>
      <c r="O86" s="2">
        <v>0</v>
      </c>
      <c r="P86" s="2">
        <v>1E-4</v>
      </c>
      <c r="Q86" s="2">
        <v>5.9999999999999995E-4</v>
      </c>
    </row>
    <row r="87" spans="1:17" x14ac:dyDescent="0.3">
      <c r="A87" s="1" t="s">
        <v>51</v>
      </c>
      <c r="B87" s="2">
        <v>12</v>
      </c>
      <c r="C87" s="2">
        <v>2</v>
      </c>
      <c r="D87">
        <v>16</v>
      </c>
      <c r="E87">
        <v>8</v>
      </c>
      <c r="F87">
        <v>8</v>
      </c>
      <c r="G87" s="2">
        <v>5</v>
      </c>
      <c r="H87">
        <v>6</v>
      </c>
      <c r="I87">
        <v>4</v>
      </c>
      <c r="J87">
        <v>2</v>
      </c>
      <c r="K87">
        <v>0</v>
      </c>
      <c r="L87" s="2">
        <v>0</v>
      </c>
      <c r="M87" s="2">
        <v>0.4657</v>
      </c>
      <c r="N87" s="2">
        <v>0.46800000000000003</v>
      </c>
      <c r="O87" s="2">
        <v>0</v>
      </c>
      <c r="P87" s="2">
        <v>4.6600000000000003E-2</v>
      </c>
      <c r="Q87" s="2">
        <v>0.4627</v>
      </c>
    </row>
    <row r="88" spans="1:17" x14ac:dyDescent="0.3">
      <c r="A88" s="1" t="s">
        <v>50</v>
      </c>
      <c r="B88" s="2">
        <v>12</v>
      </c>
      <c r="C88" s="2">
        <v>2</v>
      </c>
      <c r="D88">
        <v>16</v>
      </c>
      <c r="E88">
        <v>8</v>
      </c>
      <c r="F88">
        <v>8</v>
      </c>
      <c r="G88" s="2">
        <v>5</v>
      </c>
      <c r="H88">
        <v>6</v>
      </c>
      <c r="I88">
        <v>4</v>
      </c>
      <c r="J88">
        <v>2</v>
      </c>
      <c r="K88">
        <v>0</v>
      </c>
      <c r="L88" s="2">
        <v>5.7500000000000002E-2</v>
      </c>
      <c r="M88" s="2">
        <v>0.15210000000000001</v>
      </c>
      <c r="N88" s="2">
        <v>0.1469</v>
      </c>
      <c r="O88" s="2">
        <v>3.9600000000000003E-2</v>
      </c>
      <c r="P88" s="2">
        <v>1E-4</v>
      </c>
      <c r="Q88" s="2">
        <v>3.8399999999999997E-2</v>
      </c>
    </row>
    <row r="89" spans="1:17" x14ac:dyDescent="0.3">
      <c r="A89" s="1" t="s">
        <v>132</v>
      </c>
      <c r="B89" s="2">
        <v>12</v>
      </c>
      <c r="C89" s="2">
        <v>2</v>
      </c>
      <c r="D89">
        <v>19</v>
      </c>
      <c r="E89">
        <v>15</v>
      </c>
      <c r="F89">
        <v>4</v>
      </c>
      <c r="G89" s="2">
        <v>5</v>
      </c>
      <c r="H89">
        <v>6</v>
      </c>
      <c r="I89">
        <v>6</v>
      </c>
      <c r="J89">
        <v>0</v>
      </c>
      <c r="K89">
        <v>0</v>
      </c>
      <c r="L89" s="2">
        <v>8.8900000000000007E-2</v>
      </c>
      <c r="M89" s="2">
        <v>6.9699999999999998E-2</v>
      </c>
      <c r="N89" s="2">
        <v>0.1026</v>
      </c>
      <c r="O89" s="2">
        <v>0.1163</v>
      </c>
      <c r="P89" s="2">
        <v>7.6399999999999996E-2</v>
      </c>
      <c r="Q89" s="2">
        <v>8.1199999999999994E-2</v>
      </c>
    </row>
    <row r="90" spans="1:17" x14ac:dyDescent="0.3">
      <c r="A90" s="1" t="s">
        <v>133</v>
      </c>
      <c r="B90" s="2">
        <v>12</v>
      </c>
      <c r="C90" s="2">
        <v>2</v>
      </c>
      <c r="D90">
        <v>20</v>
      </c>
      <c r="E90">
        <v>16</v>
      </c>
      <c r="F90">
        <v>4</v>
      </c>
      <c r="G90" s="2">
        <v>5</v>
      </c>
      <c r="H90">
        <v>13</v>
      </c>
      <c r="I90">
        <v>9</v>
      </c>
      <c r="J90">
        <v>4</v>
      </c>
      <c r="K90">
        <v>0</v>
      </c>
      <c r="L90" s="2">
        <v>2.5999999999999999E-3</v>
      </c>
      <c r="M90" s="2">
        <v>0</v>
      </c>
      <c r="N90" s="2">
        <v>8.9999999999999998E-4</v>
      </c>
      <c r="O90" s="2">
        <v>5.0000000000000001E-3</v>
      </c>
      <c r="P90" s="2">
        <v>8.0000000000000004E-4</v>
      </c>
      <c r="Q90" s="2">
        <v>0</v>
      </c>
    </row>
    <row r="91" spans="1:17" x14ac:dyDescent="0.3">
      <c r="A91" s="1" t="s">
        <v>134</v>
      </c>
      <c r="B91" s="2">
        <v>12</v>
      </c>
      <c r="C91" s="2">
        <v>2</v>
      </c>
      <c r="D91">
        <v>23</v>
      </c>
      <c r="E91">
        <v>22</v>
      </c>
      <c r="F91">
        <v>1</v>
      </c>
      <c r="G91" s="2">
        <v>5</v>
      </c>
      <c r="H91">
        <v>12</v>
      </c>
      <c r="I91">
        <v>12</v>
      </c>
      <c r="J91">
        <v>0</v>
      </c>
      <c r="K91">
        <v>0</v>
      </c>
      <c r="L91" s="2">
        <v>2.0999999999999999E-3</v>
      </c>
      <c r="M91" s="2">
        <v>0</v>
      </c>
      <c r="N91" s="2">
        <v>1E-3</v>
      </c>
      <c r="O91" s="2">
        <v>0</v>
      </c>
      <c r="P91" s="2">
        <v>2.5999999999999999E-3</v>
      </c>
      <c r="Q91" s="2">
        <v>0</v>
      </c>
    </row>
    <row r="92" spans="1:17" x14ac:dyDescent="0.3">
      <c r="A92" s="1" t="s">
        <v>49</v>
      </c>
      <c r="B92" s="2">
        <v>12</v>
      </c>
      <c r="C92" s="2">
        <v>4</v>
      </c>
      <c r="D92">
        <v>41</v>
      </c>
      <c r="E92">
        <v>35</v>
      </c>
      <c r="F92">
        <v>6</v>
      </c>
      <c r="G92" s="2">
        <v>5</v>
      </c>
      <c r="H92">
        <v>24</v>
      </c>
      <c r="I92">
        <v>24</v>
      </c>
      <c r="J92">
        <v>0</v>
      </c>
      <c r="K92">
        <v>0</v>
      </c>
      <c r="L92" s="2">
        <v>0</v>
      </c>
      <c r="M92" s="2">
        <v>0</v>
      </c>
      <c r="N92" s="2">
        <v>1E-4</v>
      </c>
      <c r="O92" s="2">
        <v>1E-4</v>
      </c>
      <c r="P92" s="2">
        <v>1E-4</v>
      </c>
      <c r="Q92" s="2">
        <v>0</v>
      </c>
    </row>
    <row r="93" spans="1:17" x14ac:dyDescent="0.3">
      <c r="A93" s="1" t="s">
        <v>48</v>
      </c>
      <c r="B93" s="2">
        <v>12</v>
      </c>
      <c r="C93" s="2">
        <v>4</v>
      </c>
      <c r="D93">
        <v>28</v>
      </c>
      <c r="E93">
        <v>8</v>
      </c>
      <c r="F93">
        <v>20</v>
      </c>
      <c r="G93" s="2">
        <v>5</v>
      </c>
      <c r="H93">
        <v>60</v>
      </c>
      <c r="I93">
        <v>48</v>
      </c>
      <c r="J93">
        <v>12</v>
      </c>
      <c r="K93">
        <v>0</v>
      </c>
      <c r="L93" s="2">
        <v>2.9999999999999997E-4</v>
      </c>
      <c r="M93" s="2">
        <v>0</v>
      </c>
      <c r="N93" s="2">
        <v>5.0000000000000001E-4</v>
      </c>
      <c r="O93" s="2">
        <v>1E-4</v>
      </c>
      <c r="P93" s="2">
        <v>5.0000000000000001E-4</v>
      </c>
      <c r="Q93" s="2">
        <v>0</v>
      </c>
    </row>
    <row r="94" spans="1:17" x14ac:dyDescent="0.3">
      <c r="A94" s="1" t="s">
        <v>129</v>
      </c>
      <c r="B94" s="2">
        <v>12</v>
      </c>
      <c r="C94" s="2">
        <v>4</v>
      </c>
      <c r="D94">
        <v>26</v>
      </c>
      <c r="E94">
        <v>4</v>
      </c>
      <c r="F94">
        <v>22</v>
      </c>
      <c r="G94" s="2">
        <v>5</v>
      </c>
      <c r="H94">
        <v>35</v>
      </c>
      <c r="I94">
        <v>24</v>
      </c>
      <c r="J94">
        <v>11</v>
      </c>
      <c r="K94">
        <v>0</v>
      </c>
      <c r="L94" s="2">
        <v>1E-4</v>
      </c>
      <c r="M94" s="2">
        <v>5.0000000000000001E-4</v>
      </c>
      <c r="N94" s="2">
        <v>4.0000000000000002E-4</v>
      </c>
      <c r="O94" s="2">
        <v>6.9999999999999999E-4</v>
      </c>
      <c r="P94" s="2">
        <v>1E-4</v>
      </c>
      <c r="Q94" s="2">
        <v>3.0999999999999999E-3</v>
      </c>
    </row>
    <row r="95" spans="1:17" x14ac:dyDescent="0.3">
      <c r="A95" s="1" t="s">
        <v>130</v>
      </c>
      <c r="B95" s="2">
        <v>12</v>
      </c>
      <c r="C95" s="2">
        <v>4</v>
      </c>
      <c r="D95">
        <v>27</v>
      </c>
      <c r="E95">
        <v>6</v>
      </c>
      <c r="F95">
        <v>21</v>
      </c>
      <c r="G95" s="2">
        <v>5</v>
      </c>
      <c r="H95">
        <v>28</v>
      </c>
      <c r="I95">
        <v>20</v>
      </c>
      <c r="J95">
        <v>8</v>
      </c>
      <c r="K95">
        <v>0</v>
      </c>
      <c r="L95" s="2">
        <v>1E-4</v>
      </c>
      <c r="M95" s="2">
        <v>4.0000000000000002E-4</v>
      </c>
      <c r="N95" s="2">
        <v>0</v>
      </c>
      <c r="O95" s="2">
        <v>2.0000000000000001E-4</v>
      </c>
      <c r="P95" s="2">
        <v>1E-4</v>
      </c>
      <c r="Q95" s="2">
        <v>1E-4</v>
      </c>
    </row>
    <row r="96" spans="1:17" x14ac:dyDescent="0.3">
      <c r="A96" s="1" t="s">
        <v>131</v>
      </c>
      <c r="B96" s="2">
        <v>12</v>
      </c>
      <c r="C96" s="2">
        <v>4</v>
      </c>
      <c r="D96">
        <v>31</v>
      </c>
      <c r="E96">
        <v>15</v>
      </c>
      <c r="F96" s="1">
        <v>16</v>
      </c>
      <c r="G96" s="1">
        <v>5</v>
      </c>
      <c r="H96">
        <v>42</v>
      </c>
      <c r="I96">
        <v>36</v>
      </c>
      <c r="J96">
        <v>6</v>
      </c>
      <c r="K96">
        <v>0</v>
      </c>
      <c r="L96" s="3">
        <v>1.1999999999999999E-3</v>
      </c>
      <c r="M96" s="3">
        <v>1E-4</v>
      </c>
      <c r="N96" s="2">
        <v>6.9999999999999999E-4</v>
      </c>
      <c r="O96" s="1">
        <v>5.0000000000000001E-4</v>
      </c>
      <c r="P96" s="3">
        <v>0</v>
      </c>
      <c r="Q96" s="2">
        <v>2.8999999999999998E-3</v>
      </c>
    </row>
    <row r="97" spans="1:17" x14ac:dyDescent="0.3">
      <c r="A97" t="s">
        <v>47</v>
      </c>
      <c r="B97" s="3">
        <v>12</v>
      </c>
      <c r="C97" s="2">
        <v>6</v>
      </c>
      <c r="D97">
        <v>64</v>
      </c>
      <c r="E97">
        <v>56</v>
      </c>
      <c r="F97">
        <v>8</v>
      </c>
      <c r="G97" s="2">
        <v>5</v>
      </c>
      <c r="H97">
        <v>54</v>
      </c>
      <c r="I97">
        <v>36</v>
      </c>
      <c r="J97">
        <v>18</v>
      </c>
      <c r="K97">
        <v>0</v>
      </c>
      <c r="L97" s="3">
        <v>0</v>
      </c>
      <c r="M97" s="3">
        <v>0</v>
      </c>
      <c r="N97" s="3">
        <v>2.3E-3</v>
      </c>
      <c r="O97" s="3">
        <v>0</v>
      </c>
      <c r="P97" s="3">
        <v>0</v>
      </c>
      <c r="Q97" s="2">
        <v>0</v>
      </c>
    </row>
    <row r="98" spans="1:17" x14ac:dyDescent="0.3">
      <c r="A98" t="s">
        <v>46</v>
      </c>
      <c r="B98" s="3">
        <v>12</v>
      </c>
      <c r="C98" s="2">
        <v>6</v>
      </c>
      <c r="D98">
        <v>46</v>
      </c>
      <c r="E98">
        <v>21</v>
      </c>
      <c r="F98">
        <v>25</v>
      </c>
      <c r="G98" s="2">
        <v>5</v>
      </c>
      <c r="H98">
        <v>59</v>
      </c>
      <c r="I98">
        <v>48</v>
      </c>
      <c r="J98">
        <v>11</v>
      </c>
      <c r="K98">
        <v>0</v>
      </c>
      <c r="L98" s="3">
        <v>0</v>
      </c>
      <c r="M98" s="3">
        <v>0</v>
      </c>
      <c r="N98" s="3">
        <v>0</v>
      </c>
      <c r="O98" s="3">
        <v>5.0000000000000001E-3</v>
      </c>
      <c r="P98" s="3">
        <v>2.9999999999999997E-4</v>
      </c>
      <c r="Q98" s="2">
        <v>0</v>
      </c>
    </row>
    <row r="99" spans="1:17" x14ac:dyDescent="0.3">
      <c r="A99" t="s">
        <v>126</v>
      </c>
      <c r="B99" s="3">
        <v>12</v>
      </c>
      <c r="C99" s="2">
        <v>6</v>
      </c>
      <c r="D99">
        <v>40</v>
      </c>
      <c r="E99">
        <v>9</v>
      </c>
      <c r="F99">
        <v>31</v>
      </c>
      <c r="G99" s="2">
        <v>5</v>
      </c>
      <c r="H99">
        <v>54</v>
      </c>
      <c r="I99">
        <v>36</v>
      </c>
      <c r="J99">
        <v>18</v>
      </c>
      <c r="K99">
        <v>0</v>
      </c>
      <c r="L99" s="3">
        <v>0</v>
      </c>
      <c r="M99" s="3">
        <v>2.9999999999999997E-4</v>
      </c>
      <c r="N99" s="3">
        <v>0</v>
      </c>
      <c r="O99" s="3">
        <v>1E-4</v>
      </c>
      <c r="P99" s="3">
        <v>1E-3</v>
      </c>
      <c r="Q99" s="2">
        <v>0</v>
      </c>
    </row>
    <row r="100" spans="1:17" x14ac:dyDescent="0.3">
      <c r="A100" t="s">
        <v>127</v>
      </c>
      <c r="B100" s="3">
        <v>12</v>
      </c>
      <c r="C100" s="2">
        <v>6</v>
      </c>
      <c r="D100">
        <v>50</v>
      </c>
      <c r="E100">
        <v>30</v>
      </c>
      <c r="F100">
        <v>20</v>
      </c>
      <c r="G100" s="2">
        <v>5</v>
      </c>
      <c r="H100">
        <v>54</v>
      </c>
      <c r="I100">
        <v>36</v>
      </c>
      <c r="J100">
        <v>18</v>
      </c>
      <c r="K100">
        <v>0</v>
      </c>
      <c r="L100" s="3">
        <v>1E-4</v>
      </c>
      <c r="M100" s="3">
        <v>1E-4</v>
      </c>
      <c r="N100" s="3">
        <v>1E-4</v>
      </c>
      <c r="O100" s="3">
        <v>0</v>
      </c>
      <c r="P100" s="3">
        <v>1E-4</v>
      </c>
      <c r="Q100" s="2">
        <v>2.0000000000000001E-4</v>
      </c>
    </row>
    <row r="101" spans="1:17" x14ac:dyDescent="0.3">
      <c r="A101" t="s">
        <v>128</v>
      </c>
      <c r="B101" s="3">
        <v>12</v>
      </c>
      <c r="C101" s="2">
        <v>6</v>
      </c>
      <c r="D101">
        <v>47</v>
      </c>
      <c r="E101">
        <v>22</v>
      </c>
      <c r="F101">
        <v>25</v>
      </c>
      <c r="G101" s="2">
        <v>5</v>
      </c>
      <c r="H101">
        <v>54</v>
      </c>
      <c r="I101">
        <v>36</v>
      </c>
      <c r="J101">
        <v>18</v>
      </c>
      <c r="K101">
        <v>0</v>
      </c>
      <c r="L101" s="3">
        <v>1E-4</v>
      </c>
      <c r="M101" s="3">
        <v>1.9E-3</v>
      </c>
      <c r="N101" s="3">
        <v>2.0000000000000001E-4</v>
      </c>
      <c r="O101" s="3">
        <v>2.9999999999999997E-4</v>
      </c>
      <c r="P101" s="3">
        <v>0</v>
      </c>
      <c r="Q101" s="2">
        <v>0</v>
      </c>
    </row>
    <row r="102" spans="1:17" x14ac:dyDescent="0.3">
      <c r="A102" s="1" t="s">
        <v>54</v>
      </c>
      <c r="B102" s="2">
        <v>5</v>
      </c>
      <c r="C102" s="2">
        <v>10</v>
      </c>
      <c r="G102" s="2">
        <v>0</v>
      </c>
      <c r="H102">
        <v>5</v>
      </c>
      <c r="I102">
        <v>5</v>
      </c>
      <c r="J102">
        <v>0</v>
      </c>
      <c r="K102">
        <v>0</v>
      </c>
      <c r="L102" s="3">
        <v>1</v>
      </c>
      <c r="M102" s="3"/>
      <c r="O102" s="1"/>
    </row>
    <row r="103" spans="1:17" x14ac:dyDescent="0.3">
      <c r="A103" s="1" t="s">
        <v>55</v>
      </c>
      <c r="B103" s="2">
        <v>5</v>
      </c>
      <c r="C103" s="2">
        <v>10</v>
      </c>
      <c r="G103" s="2">
        <v>0</v>
      </c>
      <c r="H103">
        <v>5</v>
      </c>
      <c r="I103">
        <v>5</v>
      </c>
      <c r="J103">
        <v>0</v>
      </c>
      <c r="K103">
        <v>0</v>
      </c>
      <c r="L103" s="2">
        <v>1</v>
      </c>
    </row>
    <row r="104" spans="1:17" x14ac:dyDescent="0.3">
      <c r="A104" s="1" t="s">
        <v>56</v>
      </c>
      <c r="B104" s="2">
        <v>5</v>
      </c>
      <c r="C104" s="2">
        <v>10</v>
      </c>
      <c r="G104" s="2">
        <v>0</v>
      </c>
      <c r="H104">
        <v>5</v>
      </c>
      <c r="I104">
        <v>5</v>
      </c>
      <c r="J104">
        <v>0</v>
      </c>
      <c r="K104">
        <v>0</v>
      </c>
      <c r="L104" s="2">
        <v>1</v>
      </c>
    </row>
    <row r="105" spans="1:17" x14ac:dyDescent="0.3">
      <c r="A105" s="1" t="s">
        <v>97</v>
      </c>
      <c r="B105" s="2">
        <v>5</v>
      </c>
      <c r="C105" s="2">
        <v>10</v>
      </c>
      <c r="G105" s="2">
        <v>0</v>
      </c>
      <c r="H105">
        <v>5</v>
      </c>
      <c r="I105">
        <v>5</v>
      </c>
      <c r="J105">
        <v>0</v>
      </c>
      <c r="K105">
        <v>0</v>
      </c>
      <c r="L105" s="2">
        <v>1</v>
      </c>
    </row>
    <row r="106" spans="1:17" x14ac:dyDescent="0.3">
      <c r="A106" s="1" t="s">
        <v>98</v>
      </c>
      <c r="B106" s="2">
        <v>5</v>
      </c>
      <c r="C106" s="2">
        <v>10</v>
      </c>
      <c r="G106" s="2">
        <v>0</v>
      </c>
      <c r="H106">
        <v>5</v>
      </c>
      <c r="I106">
        <v>5</v>
      </c>
      <c r="J106">
        <v>0</v>
      </c>
      <c r="K106">
        <v>0</v>
      </c>
      <c r="L106" s="2">
        <v>1</v>
      </c>
    </row>
    <row r="108" spans="1:17" x14ac:dyDescent="0.3">
      <c r="A108" s="1" t="s">
        <v>168</v>
      </c>
    </row>
    <row r="109" spans="1:17" x14ac:dyDescent="0.3">
      <c r="A109" s="1" t="s">
        <v>169</v>
      </c>
    </row>
    <row r="110" spans="1:17" x14ac:dyDescent="0.3">
      <c r="A110" s="1" t="s">
        <v>170</v>
      </c>
    </row>
    <row r="111" spans="1:17" x14ac:dyDescent="0.3">
      <c r="A111" s="1" t="s">
        <v>171</v>
      </c>
    </row>
    <row r="112" spans="1:17" x14ac:dyDescent="0.3">
      <c r="A112" s="1" t="s">
        <v>172</v>
      </c>
    </row>
    <row r="115" spans="1:18" x14ac:dyDescent="0.3">
      <c r="A115" s="1" t="s">
        <v>57</v>
      </c>
      <c r="B115" s="2">
        <v>5</v>
      </c>
      <c r="C115" s="2">
        <v>37</v>
      </c>
      <c r="G115" s="2">
        <v>1</v>
      </c>
      <c r="H115">
        <v>23</v>
      </c>
      <c r="I115">
        <v>22</v>
      </c>
      <c r="J115">
        <v>0</v>
      </c>
      <c r="K115">
        <v>1</v>
      </c>
      <c r="L115" s="2">
        <v>1</v>
      </c>
      <c r="M115" s="2">
        <v>0.9</v>
      </c>
    </row>
    <row r="116" spans="1:18" x14ac:dyDescent="0.3">
      <c r="A116" s="1" t="s">
        <v>99</v>
      </c>
      <c r="B116" s="2">
        <v>5</v>
      </c>
      <c r="C116" s="2">
        <v>37</v>
      </c>
      <c r="G116" s="2">
        <v>0</v>
      </c>
      <c r="H116">
        <v>23</v>
      </c>
      <c r="I116">
        <v>22</v>
      </c>
      <c r="J116">
        <v>0</v>
      </c>
      <c r="K116">
        <v>1</v>
      </c>
      <c r="L116" s="2">
        <v>1</v>
      </c>
    </row>
    <row r="117" spans="1:18" x14ac:dyDescent="0.3">
      <c r="A117" s="1" t="s">
        <v>100</v>
      </c>
      <c r="B117" s="2">
        <v>5</v>
      </c>
      <c r="C117" s="2">
        <v>37</v>
      </c>
      <c r="R117" t="s">
        <v>107</v>
      </c>
    </row>
    <row r="118" spans="1:18" x14ac:dyDescent="0.3">
      <c r="A118" s="1" t="s">
        <v>101</v>
      </c>
      <c r="B118" s="2">
        <v>5</v>
      </c>
      <c r="C118" s="2">
        <v>37</v>
      </c>
      <c r="G118" s="2">
        <v>0</v>
      </c>
      <c r="H118">
        <v>23</v>
      </c>
      <c r="I118">
        <v>22</v>
      </c>
      <c r="J118">
        <v>0</v>
      </c>
      <c r="K118">
        <v>1</v>
      </c>
      <c r="L118" s="2">
        <v>1</v>
      </c>
      <c r="M118" s="2">
        <v>0.87890000000000001</v>
      </c>
    </row>
    <row r="119" spans="1:18" x14ac:dyDescent="0.3">
      <c r="A119" s="1" t="s">
        <v>102</v>
      </c>
      <c r="B119" s="2">
        <v>5</v>
      </c>
      <c r="C119" s="2">
        <v>37</v>
      </c>
      <c r="G119" s="2">
        <v>1</v>
      </c>
      <c r="H119">
        <v>23</v>
      </c>
      <c r="I119">
        <v>22</v>
      </c>
      <c r="J119">
        <v>0</v>
      </c>
      <c r="K119">
        <v>1</v>
      </c>
      <c r="L119" s="2">
        <v>1</v>
      </c>
    </row>
    <row r="120" spans="1:18" x14ac:dyDescent="0.3">
      <c r="A120" s="1" t="s">
        <v>58</v>
      </c>
      <c r="B120" s="2">
        <v>5</v>
      </c>
      <c r="C120" s="2">
        <v>17</v>
      </c>
      <c r="G120" s="2">
        <v>2</v>
      </c>
      <c r="H120">
        <v>4</v>
      </c>
      <c r="I120">
        <v>2</v>
      </c>
      <c r="J120">
        <v>2</v>
      </c>
      <c r="K120">
        <v>0</v>
      </c>
      <c r="L120" s="2">
        <v>1</v>
      </c>
      <c r="M120" s="2">
        <v>0.9</v>
      </c>
      <c r="N120" s="2">
        <v>0.72860000000000003</v>
      </c>
    </row>
    <row r="121" spans="1:18" x14ac:dyDescent="0.3">
      <c r="A121" s="1" t="s">
        <v>103</v>
      </c>
      <c r="B121" s="2">
        <v>5</v>
      </c>
      <c r="C121" s="2">
        <v>17</v>
      </c>
      <c r="G121" s="2">
        <v>1</v>
      </c>
      <c r="H121">
        <v>4</v>
      </c>
      <c r="I121">
        <v>2</v>
      </c>
      <c r="J121">
        <v>2</v>
      </c>
      <c r="K121">
        <v>0</v>
      </c>
      <c r="L121" s="2">
        <v>1</v>
      </c>
      <c r="M121" s="2">
        <v>0.72860000000000003</v>
      </c>
    </row>
    <row r="122" spans="1:18" x14ac:dyDescent="0.3">
      <c r="A122" s="1" t="s">
        <v>104</v>
      </c>
      <c r="B122" s="2">
        <v>5</v>
      </c>
      <c r="C122" s="2">
        <v>17</v>
      </c>
      <c r="G122" s="2">
        <v>0</v>
      </c>
      <c r="H122">
        <v>5</v>
      </c>
      <c r="I122">
        <v>3</v>
      </c>
      <c r="J122">
        <v>2</v>
      </c>
      <c r="K122">
        <v>0</v>
      </c>
      <c r="L122" s="2">
        <v>1</v>
      </c>
    </row>
    <row r="123" spans="1:18" x14ac:dyDescent="0.3">
      <c r="A123" s="1" t="s">
        <v>105</v>
      </c>
      <c r="B123" s="2">
        <v>5</v>
      </c>
      <c r="C123" s="2">
        <v>17</v>
      </c>
      <c r="G123" s="2">
        <v>0</v>
      </c>
      <c r="H123">
        <v>17</v>
      </c>
      <c r="I123">
        <v>15</v>
      </c>
      <c r="J123">
        <v>2</v>
      </c>
      <c r="K123">
        <v>0</v>
      </c>
      <c r="L123" s="2">
        <v>1</v>
      </c>
    </row>
    <row r="124" spans="1:18" x14ac:dyDescent="0.3">
      <c r="A124" s="1" t="s">
        <v>106</v>
      </c>
      <c r="B124" s="2">
        <v>5</v>
      </c>
      <c r="C124" s="2">
        <v>17</v>
      </c>
      <c r="G124" s="2">
        <v>0</v>
      </c>
      <c r="H124">
        <v>4</v>
      </c>
      <c r="I124">
        <v>2</v>
      </c>
      <c r="J124">
        <v>2</v>
      </c>
      <c r="K124">
        <v>0</v>
      </c>
      <c r="L124" s="2">
        <v>1</v>
      </c>
    </row>
    <row r="126" spans="1:18" x14ac:dyDescent="0.3">
      <c r="A126" s="1" t="s">
        <v>138</v>
      </c>
      <c r="B126" s="2">
        <v>5</v>
      </c>
      <c r="C126" s="2">
        <v>4</v>
      </c>
      <c r="G126" s="2">
        <v>0</v>
      </c>
      <c r="L126" s="2">
        <v>1</v>
      </c>
    </row>
    <row r="127" spans="1:18" x14ac:dyDescent="0.3">
      <c r="A127" s="1" t="s">
        <v>139</v>
      </c>
      <c r="B127" s="2">
        <v>5</v>
      </c>
      <c r="C127" s="2">
        <v>4</v>
      </c>
      <c r="G127" s="2">
        <v>0</v>
      </c>
      <c r="L127" s="2">
        <v>1</v>
      </c>
    </row>
    <row r="128" spans="1:18" x14ac:dyDescent="0.3">
      <c r="A128" s="1" t="s">
        <v>140</v>
      </c>
      <c r="B128" s="2">
        <v>5</v>
      </c>
      <c r="C128" s="2">
        <v>4</v>
      </c>
      <c r="G128" s="2">
        <v>0</v>
      </c>
      <c r="L128" s="2">
        <v>1</v>
      </c>
    </row>
    <row r="129" spans="1:17" x14ac:dyDescent="0.3">
      <c r="A129" s="1" t="s">
        <v>141</v>
      </c>
      <c r="B129" s="2">
        <v>5</v>
      </c>
      <c r="C129" s="2">
        <v>4</v>
      </c>
      <c r="G129" s="2">
        <v>0</v>
      </c>
      <c r="L129" s="2">
        <v>1</v>
      </c>
    </row>
    <row r="130" spans="1:17" x14ac:dyDescent="0.3">
      <c r="A130" s="1" t="s">
        <v>142</v>
      </c>
      <c r="B130" s="2">
        <v>5</v>
      </c>
      <c r="C130" s="2">
        <v>4</v>
      </c>
      <c r="G130" s="2">
        <v>0</v>
      </c>
      <c r="L130" s="2">
        <v>1</v>
      </c>
    </row>
    <row r="132" spans="1:17" x14ac:dyDescent="0.3">
      <c r="A132" s="1" t="s">
        <v>143</v>
      </c>
      <c r="B132" s="2">
        <v>8</v>
      </c>
      <c r="C132" s="2">
        <v>8</v>
      </c>
      <c r="G132" s="2">
        <v>5</v>
      </c>
      <c r="L132" s="2">
        <v>0</v>
      </c>
      <c r="M132" s="2">
        <v>7.7999999999999996E-3</v>
      </c>
      <c r="N132" s="2">
        <v>1.5599999999999999E-2</v>
      </c>
      <c r="O132" s="2">
        <v>0</v>
      </c>
      <c r="P132" s="2">
        <v>0</v>
      </c>
      <c r="Q132" s="2">
        <v>5.33E-2</v>
      </c>
    </row>
    <row r="133" spans="1:17" x14ac:dyDescent="0.3">
      <c r="A133" s="1" t="s">
        <v>145</v>
      </c>
      <c r="B133" s="2">
        <v>8</v>
      </c>
      <c r="C133" s="2">
        <v>8</v>
      </c>
      <c r="G133" s="2">
        <v>5</v>
      </c>
      <c r="L133" s="2">
        <v>0</v>
      </c>
      <c r="M133" s="2">
        <v>0</v>
      </c>
      <c r="N133" s="2">
        <v>6.25E-2</v>
      </c>
      <c r="O133" s="2">
        <v>0.25</v>
      </c>
      <c r="P133" s="2">
        <v>0</v>
      </c>
      <c r="Q133" s="2">
        <v>0.125</v>
      </c>
    </row>
    <row r="134" spans="1:17" x14ac:dyDescent="0.3">
      <c r="A134" s="1" t="s">
        <v>146</v>
      </c>
      <c r="B134" s="2">
        <v>8</v>
      </c>
      <c r="C134" s="2">
        <v>8</v>
      </c>
      <c r="G134" s="2">
        <v>5</v>
      </c>
      <c r="L134" s="2">
        <v>6.25E-2</v>
      </c>
      <c r="M134" s="2">
        <v>7.7999999999999996E-3</v>
      </c>
      <c r="N134" s="2">
        <v>1.5599999999999999E-2</v>
      </c>
      <c r="O134" s="2">
        <v>3.1199999999999999E-2</v>
      </c>
      <c r="P134" s="2">
        <v>0</v>
      </c>
      <c r="Q134" s="2">
        <v>3.1199999999999999E-2</v>
      </c>
    </row>
    <row r="135" spans="1:17" x14ac:dyDescent="0.3">
      <c r="A135" s="1" t="s">
        <v>147</v>
      </c>
      <c r="B135" s="2">
        <v>8</v>
      </c>
      <c r="C135" s="2">
        <v>8</v>
      </c>
      <c r="G135" s="2">
        <v>5</v>
      </c>
      <c r="L135" s="2">
        <v>0</v>
      </c>
      <c r="M135" s="2">
        <v>3.1199999999999999E-2</v>
      </c>
      <c r="N135" s="2">
        <v>3.1199999999999999E-2</v>
      </c>
      <c r="O135" s="2">
        <v>1.5599999999999999E-2</v>
      </c>
      <c r="P135" s="2">
        <v>0</v>
      </c>
      <c r="Q135" s="2">
        <v>0.125</v>
      </c>
    </row>
    <row r="136" spans="1:17" x14ac:dyDescent="0.3">
      <c r="A136" s="1" t="s">
        <v>148</v>
      </c>
      <c r="B136" s="2">
        <v>8</v>
      </c>
      <c r="C136" s="2">
        <v>8</v>
      </c>
      <c r="G136" s="2">
        <v>5</v>
      </c>
      <c r="L136" s="2">
        <v>0</v>
      </c>
      <c r="M136" s="2">
        <v>0.125</v>
      </c>
      <c r="N136" s="2">
        <v>0.125</v>
      </c>
      <c r="O136" s="2">
        <v>3.1199999999999999E-2</v>
      </c>
      <c r="P136" s="2">
        <v>3.1199999999999999E-2</v>
      </c>
      <c r="Q136" s="2">
        <v>0.5</v>
      </c>
    </row>
    <row r="138" spans="1:17" x14ac:dyDescent="0.3">
      <c r="A138" s="1" t="s">
        <v>144</v>
      </c>
      <c r="B138" s="2">
        <v>10</v>
      </c>
      <c r="C138" s="2">
        <v>15</v>
      </c>
      <c r="G138" s="2">
        <v>5</v>
      </c>
      <c r="L138" s="2">
        <v>1.5599999999999999E-2</v>
      </c>
      <c r="M138" s="2">
        <v>2E-3</v>
      </c>
      <c r="N138" s="2">
        <v>7.7999999999999996E-3</v>
      </c>
      <c r="O138" s="2">
        <v>0</v>
      </c>
      <c r="P138" s="2">
        <v>0</v>
      </c>
      <c r="Q138" s="2">
        <v>0</v>
      </c>
    </row>
    <row r="139" spans="1:17" x14ac:dyDescent="0.3">
      <c r="A139" s="1" t="s">
        <v>149</v>
      </c>
      <c r="B139" s="2">
        <v>10</v>
      </c>
      <c r="C139" s="2">
        <v>15</v>
      </c>
      <c r="G139" s="2">
        <v>5</v>
      </c>
      <c r="L139" s="2">
        <v>1.5599999999999999E-2</v>
      </c>
      <c r="M139" s="2">
        <v>1.3299999999999999E-2</v>
      </c>
      <c r="N139" s="2">
        <v>1E-3</v>
      </c>
      <c r="O139" s="2">
        <v>2E-3</v>
      </c>
      <c r="P139" s="2">
        <v>0</v>
      </c>
      <c r="Q139" s="2">
        <v>1.5599999999999999E-2</v>
      </c>
    </row>
    <row r="140" spans="1:17" x14ac:dyDescent="0.3">
      <c r="A140" s="1" t="s">
        <v>150</v>
      </c>
      <c r="B140" s="2">
        <v>10</v>
      </c>
      <c r="C140" s="2">
        <v>15</v>
      </c>
      <c r="G140" s="2">
        <v>5</v>
      </c>
      <c r="L140" s="2">
        <v>0</v>
      </c>
      <c r="M140" s="2">
        <v>1E-3</v>
      </c>
      <c r="N140" s="2">
        <v>1E-3</v>
      </c>
      <c r="O140" s="2">
        <v>0</v>
      </c>
      <c r="P140" s="2">
        <v>3.1199999999999999E-2</v>
      </c>
      <c r="Q140" s="2">
        <v>1.5599999999999999E-2</v>
      </c>
    </row>
    <row r="141" spans="1:17" x14ac:dyDescent="0.3">
      <c r="A141" s="1" t="s">
        <v>151</v>
      </c>
      <c r="B141" s="2">
        <v>10</v>
      </c>
      <c r="C141" s="2">
        <v>15</v>
      </c>
      <c r="G141" s="2">
        <v>5</v>
      </c>
      <c r="L141" s="2">
        <v>1E-3</v>
      </c>
      <c r="M141" s="2">
        <v>0</v>
      </c>
      <c r="N141" s="2">
        <v>0</v>
      </c>
      <c r="O141" s="2">
        <v>0</v>
      </c>
      <c r="P141" s="2">
        <v>0</v>
      </c>
      <c r="Q141" s="2">
        <v>2E-3</v>
      </c>
    </row>
    <row r="142" spans="1:17" x14ac:dyDescent="0.3">
      <c r="A142" s="1" t="s">
        <v>152</v>
      </c>
      <c r="B142" s="2">
        <v>10</v>
      </c>
      <c r="C142" s="2">
        <v>15</v>
      </c>
      <c r="G142" s="2">
        <v>5</v>
      </c>
      <c r="L142" s="2">
        <v>1E-3</v>
      </c>
      <c r="M142" s="2">
        <v>3.1199999999999999E-2</v>
      </c>
      <c r="N142" s="2">
        <v>1E-3</v>
      </c>
      <c r="O142" s="2">
        <v>1E-3</v>
      </c>
      <c r="P142" s="2">
        <v>3.8999999999999998E-3</v>
      </c>
      <c r="Q142" s="2">
        <v>3.8999999999999998E-3</v>
      </c>
    </row>
    <row r="144" spans="1:17" x14ac:dyDescent="0.3">
      <c r="A144" s="1" t="s">
        <v>154</v>
      </c>
      <c r="B144" s="2">
        <v>5</v>
      </c>
      <c r="C144" s="2">
        <v>5</v>
      </c>
      <c r="G144" s="2">
        <v>0</v>
      </c>
      <c r="L144" s="2">
        <v>1</v>
      </c>
    </row>
    <row r="145" spans="1:17" x14ac:dyDescent="0.3">
      <c r="A145" s="1" t="s">
        <v>155</v>
      </c>
      <c r="B145" s="2">
        <v>5</v>
      </c>
      <c r="C145" s="2">
        <v>5</v>
      </c>
      <c r="G145" s="2">
        <v>0</v>
      </c>
      <c r="L145" s="2">
        <v>1</v>
      </c>
    </row>
    <row r="146" spans="1:17" x14ac:dyDescent="0.3">
      <c r="A146" s="1" t="s">
        <v>156</v>
      </c>
      <c r="B146" s="2">
        <v>5</v>
      </c>
      <c r="C146" s="2">
        <v>5</v>
      </c>
      <c r="G146" s="2">
        <v>0</v>
      </c>
      <c r="L146" s="2">
        <v>1</v>
      </c>
    </row>
    <row r="147" spans="1:17" x14ac:dyDescent="0.3">
      <c r="A147" s="1" t="s">
        <v>157</v>
      </c>
      <c r="B147" s="2">
        <v>5</v>
      </c>
      <c r="C147" s="2">
        <v>5</v>
      </c>
      <c r="G147" s="2">
        <v>0</v>
      </c>
      <c r="L147" s="2">
        <v>1</v>
      </c>
    </row>
    <row r="148" spans="1:17" x14ac:dyDescent="0.3">
      <c r="A148" s="1" t="s">
        <v>158</v>
      </c>
      <c r="B148" s="2">
        <v>5</v>
      </c>
      <c r="C148" s="2">
        <v>5</v>
      </c>
      <c r="G148" s="2">
        <v>0</v>
      </c>
      <c r="L148" s="2">
        <v>1</v>
      </c>
    </row>
    <row r="150" spans="1:17" x14ac:dyDescent="0.3">
      <c r="A150" s="1" t="s">
        <v>153</v>
      </c>
      <c r="B150" s="2">
        <v>8</v>
      </c>
      <c r="C150" s="2">
        <v>6</v>
      </c>
      <c r="G150" s="2">
        <v>0</v>
      </c>
      <c r="L150" s="2">
        <v>1</v>
      </c>
    </row>
    <row r="151" spans="1:17" x14ac:dyDescent="0.3">
      <c r="A151" s="1" t="s">
        <v>159</v>
      </c>
      <c r="B151" s="2">
        <v>8</v>
      </c>
      <c r="C151" s="2">
        <v>6</v>
      </c>
      <c r="G151" s="2">
        <v>0</v>
      </c>
      <c r="L151" s="2">
        <v>1</v>
      </c>
    </row>
    <row r="152" spans="1:17" x14ac:dyDescent="0.3">
      <c r="A152" s="1" t="s">
        <v>160</v>
      </c>
      <c r="B152" s="2">
        <v>8</v>
      </c>
      <c r="C152" s="2">
        <v>6</v>
      </c>
      <c r="G152" s="2">
        <v>0</v>
      </c>
      <c r="L152" s="2">
        <v>1</v>
      </c>
    </row>
    <row r="153" spans="1:17" x14ac:dyDescent="0.3">
      <c r="A153" s="1" t="s">
        <v>161</v>
      </c>
      <c r="B153" s="2">
        <v>8</v>
      </c>
      <c r="C153" s="2">
        <v>6</v>
      </c>
      <c r="G153" s="2">
        <v>0</v>
      </c>
      <c r="L153" s="2">
        <v>1</v>
      </c>
    </row>
    <row r="154" spans="1:17" x14ac:dyDescent="0.3">
      <c r="A154" s="1" t="s">
        <v>162</v>
      </c>
      <c r="B154" s="2">
        <v>8</v>
      </c>
      <c r="C154" s="2">
        <v>6</v>
      </c>
      <c r="G154" s="2">
        <v>0</v>
      </c>
      <c r="L154" s="2">
        <v>1</v>
      </c>
    </row>
    <row r="156" spans="1:17" x14ac:dyDescent="0.3">
      <c r="A156" s="1" t="s">
        <v>163</v>
      </c>
      <c r="B156" s="2">
        <v>10</v>
      </c>
      <c r="C156" s="2">
        <v>3</v>
      </c>
      <c r="G156" s="2">
        <v>5</v>
      </c>
      <c r="L156" s="2">
        <v>0.53349999999999997</v>
      </c>
      <c r="M156" s="2">
        <v>1.5599999999999999E-2</v>
      </c>
      <c r="N156" s="2">
        <v>0.18210000000000001</v>
      </c>
      <c r="O156" s="2">
        <v>7.8100000000000003E-2</v>
      </c>
      <c r="P156" s="2">
        <v>1.5599999999999999E-2</v>
      </c>
      <c r="Q156" s="2">
        <v>7.8100000000000003E-2</v>
      </c>
    </row>
    <row r="157" spans="1:17" x14ac:dyDescent="0.3">
      <c r="A157" s="1" t="s">
        <v>164</v>
      </c>
      <c r="B157" s="2">
        <v>10</v>
      </c>
      <c r="C157" s="2">
        <v>3</v>
      </c>
      <c r="G157" s="2">
        <v>4</v>
      </c>
      <c r="L157" s="2">
        <v>1</v>
      </c>
      <c r="M157" s="2">
        <v>0.25</v>
      </c>
      <c r="N157" s="2">
        <v>6.25E-2</v>
      </c>
      <c r="O157" s="2">
        <v>0.75980000000000003</v>
      </c>
      <c r="P157" s="2">
        <v>1.5599999999999999E-2</v>
      </c>
    </row>
    <row r="158" spans="1:17" x14ac:dyDescent="0.3">
      <c r="A158" s="1" t="s">
        <v>165</v>
      </c>
      <c r="B158" s="2">
        <v>10</v>
      </c>
      <c r="C158" s="2">
        <v>3</v>
      </c>
      <c r="G158" s="2">
        <v>5</v>
      </c>
      <c r="L158" s="2">
        <v>1.5599999999999999E-2</v>
      </c>
      <c r="M158" s="2">
        <v>0.72860000000000003</v>
      </c>
      <c r="N158" s="2">
        <v>0.625</v>
      </c>
      <c r="O158" s="2">
        <v>1.5599999999999999E-2</v>
      </c>
      <c r="P158" s="2">
        <v>0.125</v>
      </c>
      <c r="Q158" s="2">
        <v>0.18210000000000001</v>
      </c>
    </row>
    <row r="159" spans="1:17" x14ac:dyDescent="0.3">
      <c r="A159" s="1" t="s">
        <v>166</v>
      </c>
      <c r="B159" s="2">
        <v>10</v>
      </c>
      <c r="C159" s="2">
        <v>3</v>
      </c>
      <c r="G159" s="2">
        <v>5</v>
      </c>
      <c r="L159" s="2">
        <v>0.62190000000000001</v>
      </c>
      <c r="M159" s="2">
        <v>3.1199999999999999E-2</v>
      </c>
      <c r="N159" s="2">
        <v>6.25E-2</v>
      </c>
      <c r="O159" s="2">
        <v>3.1199999999999999E-2</v>
      </c>
      <c r="P159" s="2">
        <v>1.83E-2</v>
      </c>
      <c r="Q159" s="2">
        <v>7.7999999999999996E-3</v>
      </c>
    </row>
    <row r="160" spans="1:17" x14ac:dyDescent="0.3">
      <c r="A160" s="1" t="s">
        <v>167</v>
      </c>
      <c r="B160" s="2">
        <v>10</v>
      </c>
      <c r="C160" s="2">
        <v>3</v>
      </c>
      <c r="G160" s="2">
        <v>5</v>
      </c>
      <c r="L160" s="2">
        <v>1.5599999999999999E-2</v>
      </c>
      <c r="M160" s="2">
        <v>0.18210000000000001</v>
      </c>
      <c r="N160" s="2">
        <v>0.18210000000000001</v>
      </c>
      <c r="O160" s="2">
        <v>6.25E-2</v>
      </c>
      <c r="P160" s="2">
        <v>1.5599999999999999E-2</v>
      </c>
      <c r="Q160" s="2">
        <v>0.18210000000000001</v>
      </c>
    </row>
  </sheetData>
  <mergeCells count="2">
    <mergeCell ref="D1:F1"/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B4D7B-BCFF-47AC-8286-24B80BE5A197}">
  <dimension ref="A2:Q137"/>
  <sheetViews>
    <sheetView workbookViewId="0">
      <pane ySplit="2" topLeftCell="A3" activePane="bottomLeft" state="frozen"/>
      <selection pane="bottomLeft" activeCell="A129" sqref="A129"/>
    </sheetView>
  </sheetViews>
  <sheetFormatPr defaultRowHeight="14.4" x14ac:dyDescent="0.3"/>
  <cols>
    <col min="1" max="1" width="21.77734375" style="1" bestFit="1" customWidth="1"/>
    <col min="2" max="2" width="11.77734375" style="2" bestFit="1" customWidth="1"/>
    <col min="3" max="4" width="8.88671875" style="2"/>
    <col min="5" max="9" width="9.77734375" style="2" bestFit="1" customWidth="1"/>
  </cols>
  <sheetData>
    <row r="2" spans="1:9" x14ac:dyDescent="0.3">
      <c r="A2" s="1" t="s">
        <v>0</v>
      </c>
      <c r="B2" s="2" t="s">
        <v>1</v>
      </c>
      <c r="C2" s="2" t="s">
        <v>2</v>
      </c>
      <c r="D2" s="2" t="s">
        <v>6</v>
      </c>
      <c r="E2" s="2" t="s">
        <v>13</v>
      </c>
      <c r="F2" s="2" t="s">
        <v>14</v>
      </c>
      <c r="G2" s="2" t="s">
        <v>18</v>
      </c>
      <c r="H2" s="2" t="s">
        <v>19</v>
      </c>
      <c r="I2" s="2" t="s">
        <v>20</v>
      </c>
    </row>
    <row r="3" spans="1:9" x14ac:dyDescent="0.3">
      <c r="A3" s="1" t="s">
        <v>4</v>
      </c>
      <c r="B3" s="2">
        <v>2</v>
      </c>
      <c r="C3" s="2">
        <v>2</v>
      </c>
      <c r="D3" s="2">
        <v>1</v>
      </c>
    </row>
    <row r="4" spans="1:9" x14ac:dyDescent="0.3">
      <c r="A4" s="1" t="s">
        <v>3</v>
      </c>
      <c r="B4" s="2">
        <v>2</v>
      </c>
      <c r="C4" s="2">
        <v>2</v>
      </c>
      <c r="D4" s="2">
        <v>1</v>
      </c>
    </row>
    <row r="5" spans="1:9" x14ac:dyDescent="0.3">
      <c r="D5" s="2" t="s">
        <v>117</v>
      </c>
      <c r="E5" s="2" t="s">
        <v>118</v>
      </c>
    </row>
    <row r="6" spans="1:9" x14ac:dyDescent="0.3">
      <c r="B6" s="2">
        <v>2</v>
      </c>
      <c r="C6" s="2">
        <v>2</v>
      </c>
      <c r="D6" s="2">
        <f>MAX(D3:I4)</f>
        <v>1</v>
      </c>
      <c r="E6" s="2">
        <f>AVERAGE(D3:I4)</f>
        <v>1</v>
      </c>
    </row>
    <row r="8" spans="1:9" x14ac:dyDescent="0.3">
      <c r="A8" s="1" t="s">
        <v>8</v>
      </c>
      <c r="B8" s="2">
        <v>3</v>
      </c>
      <c r="C8" s="2">
        <v>6</v>
      </c>
      <c r="D8" s="2">
        <v>1</v>
      </c>
    </row>
    <row r="9" spans="1:9" x14ac:dyDescent="0.3">
      <c r="A9" s="1" t="s">
        <v>7</v>
      </c>
      <c r="B9" s="2">
        <v>3</v>
      </c>
      <c r="C9" s="2">
        <v>6</v>
      </c>
      <c r="D9" s="2">
        <v>1</v>
      </c>
    </row>
    <row r="10" spans="1:9" x14ac:dyDescent="0.3">
      <c r="D10" s="2" t="s">
        <v>117</v>
      </c>
      <c r="E10" s="2" t="s">
        <v>118</v>
      </c>
    </row>
    <row r="11" spans="1:9" x14ac:dyDescent="0.3">
      <c r="B11" s="2">
        <v>3</v>
      </c>
      <c r="C11" s="2">
        <v>6</v>
      </c>
      <c r="D11" s="2">
        <f>MAX(D8:I9)</f>
        <v>1</v>
      </c>
      <c r="E11" s="2">
        <f>AVERAGE(D8:I9)</f>
        <v>1</v>
      </c>
    </row>
    <row r="13" spans="1:9" x14ac:dyDescent="0.3">
      <c r="A13" s="1" t="s">
        <v>22</v>
      </c>
      <c r="B13" s="2">
        <v>4</v>
      </c>
      <c r="C13" s="2">
        <v>10</v>
      </c>
      <c r="D13" s="2">
        <v>1</v>
      </c>
    </row>
    <row r="14" spans="1:9" x14ac:dyDescent="0.3">
      <c r="A14" s="1" t="s">
        <v>23</v>
      </c>
      <c r="B14" s="2">
        <v>4</v>
      </c>
      <c r="C14" s="2">
        <v>10</v>
      </c>
      <c r="D14" s="2">
        <v>1</v>
      </c>
    </row>
    <row r="15" spans="1:9" x14ac:dyDescent="0.3">
      <c r="D15" s="2" t="s">
        <v>117</v>
      </c>
      <c r="E15" s="2" t="s">
        <v>118</v>
      </c>
    </row>
    <row r="16" spans="1:9" x14ac:dyDescent="0.3">
      <c r="B16" s="2">
        <v>4</v>
      </c>
      <c r="C16" s="2">
        <v>10</v>
      </c>
      <c r="D16" s="2">
        <f>MAX(D13:I14)</f>
        <v>1</v>
      </c>
      <c r="E16" s="2">
        <f>AVERAGE(D13:I14)</f>
        <v>1</v>
      </c>
    </row>
    <row r="18" spans="1:6" x14ac:dyDescent="0.3">
      <c r="A18" s="1" t="s">
        <v>10</v>
      </c>
      <c r="B18" s="2">
        <v>6</v>
      </c>
      <c r="C18" s="2">
        <v>3</v>
      </c>
      <c r="D18" s="2">
        <v>1</v>
      </c>
    </row>
    <row r="19" spans="1:6" x14ac:dyDescent="0.3">
      <c r="A19" s="1" t="s">
        <v>9</v>
      </c>
      <c r="B19" s="2">
        <v>6</v>
      </c>
      <c r="C19" s="2">
        <v>3</v>
      </c>
      <c r="D19" s="2">
        <v>1</v>
      </c>
    </row>
    <row r="20" spans="1:6" x14ac:dyDescent="0.3">
      <c r="D20" s="2" t="s">
        <v>117</v>
      </c>
      <c r="E20" s="2" t="s">
        <v>118</v>
      </c>
    </row>
    <row r="21" spans="1:6" x14ac:dyDescent="0.3">
      <c r="B21" s="2">
        <v>6</v>
      </c>
      <c r="C21" s="2">
        <v>3</v>
      </c>
      <c r="D21" s="2">
        <f>MAX(D18:I19)</f>
        <v>1</v>
      </c>
      <c r="E21" s="2">
        <f>AVERAGE(D18:I19)</f>
        <v>1</v>
      </c>
    </row>
    <row r="23" spans="1:6" x14ac:dyDescent="0.3">
      <c r="A23" s="1" t="s">
        <v>11</v>
      </c>
      <c r="B23" s="2">
        <v>6</v>
      </c>
      <c r="C23" s="2">
        <v>6</v>
      </c>
      <c r="D23" s="2">
        <v>0.99939999999999996</v>
      </c>
      <c r="E23" s="2">
        <v>0.67410000000000003</v>
      </c>
    </row>
    <row r="24" spans="1:6" x14ac:dyDescent="0.3">
      <c r="A24" s="1" t="s">
        <v>12</v>
      </c>
      <c r="B24" s="2">
        <v>6</v>
      </c>
      <c r="C24" s="2">
        <v>6</v>
      </c>
      <c r="D24" s="2">
        <v>0.99919999999999998</v>
      </c>
      <c r="E24" s="2">
        <v>0.3276</v>
      </c>
      <c r="F24" s="2">
        <v>0.3276</v>
      </c>
    </row>
    <row r="25" spans="1:6" x14ac:dyDescent="0.3">
      <c r="A25" s="1" t="s">
        <v>15</v>
      </c>
      <c r="B25" s="2">
        <v>6</v>
      </c>
      <c r="C25" s="2">
        <v>6</v>
      </c>
      <c r="D25" s="2">
        <v>1</v>
      </c>
      <c r="E25" s="2">
        <v>0.83560000000000001</v>
      </c>
      <c r="F25" s="2">
        <v>3.9E-2</v>
      </c>
    </row>
    <row r="26" spans="1:6" x14ac:dyDescent="0.3">
      <c r="D26" s="2" t="s">
        <v>117</v>
      </c>
      <c r="E26" s="2" t="s">
        <v>118</v>
      </c>
    </row>
    <row r="27" spans="1:6" x14ac:dyDescent="0.3">
      <c r="B27" s="2">
        <v>6</v>
      </c>
      <c r="C27" s="2">
        <v>6</v>
      </c>
      <c r="D27" s="2">
        <f>MAX(D23:I25)</f>
        <v>1</v>
      </c>
      <c r="E27" s="2">
        <f>AVERAGE(D23:I25)</f>
        <v>0.65031249999999996</v>
      </c>
    </row>
    <row r="29" spans="1:6" x14ac:dyDescent="0.3">
      <c r="A29" s="1" t="s">
        <v>24</v>
      </c>
      <c r="B29" s="2">
        <v>6</v>
      </c>
      <c r="C29" s="2">
        <v>10</v>
      </c>
      <c r="D29" s="2">
        <v>1</v>
      </c>
      <c r="E29" s="2">
        <v>1.9E-3</v>
      </c>
    </row>
    <row r="30" spans="1:6" x14ac:dyDescent="0.3">
      <c r="A30" s="1" t="s">
        <v>25</v>
      </c>
      <c r="B30" s="2">
        <v>6</v>
      </c>
      <c r="C30" s="2">
        <v>10</v>
      </c>
      <c r="D30" s="2">
        <v>0.99</v>
      </c>
    </row>
    <row r="31" spans="1:6" x14ac:dyDescent="0.3">
      <c r="D31" s="2" t="s">
        <v>117</v>
      </c>
      <c r="E31" s="2" t="s">
        <v>118</v>
      </c>
    </row>
    <row r="32" spans="1:6" x14ac:dyDescent="0.3">
      <c r="B32" s="2">
        <v>6</v>
      </c>
      <c r="C32" s="2">
        <v>10</v>
      </c>
      <c r="D32" s="2">
        <f>MAX(D29:I30)</f>
        <v>1</v>
      </c>
      <c r="E32" s="2">
        <f>AVERAGE(D29:I30)</f>
        <v>0.6639666666666667</v>
      </c>
    </row>
    <row r="34" spans="1:9" x14ac:dyDescent="0.3">
      <c r="A34" s="1" t="s">
        <v>26</v>
      </c>
      <c r="B34" s="2">
        <v>6</v>
      </c>
      <c r="C34" s="2">
        <v>14</v>
      </c>
      <c r="D34" s="2">
        <v>0.94099999999999995</v>
      </c>
      <c r="E34" s="2">
        <v>0.31680000000000003</v>
      </c>
      <c r="F34" s="2">
        <v>0.21540000000000001</v>
      </c>
      <c r="G34" s="2">
        <v>2.1299999999999999E-2</v>
      </c>
    </row>
    <row r="35" spans="1:9" x14ac:dyDescent="0.3">
      <c r="A35" s="1" t="s">
        <v>27</v>
      </c>
      <c r="B35" s="2">
        <v>6</v>
      </c>
      <c r="C35" s="2">
        <v>14</v>
      </c>
      <c r="D35" s="2">
        <v>1</v>
      </c>
    </row>
    <row r="36" spans="1:9" x14ac:dyDescent="0.3">
      <c r="D36" s="2" t="s">
        <v>117</v>
      </c>
      <c r="E36" s="2" t="s">
        <v>118</v>
      </c>
    </row>
    <row r="37" spans="1:9" x14ac:dyDescent="0.3">
      <c r="B37" s="2">
        <v>6</v>
      </c>
      <c r="C37" s="2">
        <v>14</v>
      </c>
      <c r="D37" s="2">
        <f>MAX(D34:I35)</f>
        <v>1</v>
      </c>
      <c r="E37" s="2">
        <f>AVERAGE(D34:I35)</f>
        <v>0.49890000000000007</v>
      </c>
    </row>
    <row r="39" spans="1:9" x14ac:dyDescent="0.3">
      <c r="A39" s="1" t="s">
        <v>52</v>
      </c>
      <c r="B39" s="2">
        <v>6</v>
      </c>
      <c r="C39" s="2">
        <v>16</v>
      </c>
      <c r="D39" s="2">
        <v>1</v>
      </c>
    </row>
    <row r="40" spans="1:9" x14ac:dyDescent="0.3">
      <c r="A40" s="1" t="s">
        <v>53</v>
      </c>
      <c r="B40" s="2">
        <v>6</v>
      </c>
      <c r="C40" s="2">
        <v>16</v>
      </c>
      <c r="D40" s="2">
        <v>5.7000000000000002E-3</v>
      </c>
      <c r="E40">
        <v>1.9E-3</v>
      </c>
      <c r="F40" s="2">
        <v>1.5800000000000002E-2</v>
      </c>
      <c r="G40" s="2">
        <v>0.85089999999999999</v>
      </c>
      <c r="H40" s="2">
        <v>0.86270000000000002</v>
      </c>
      <c r="I40" s="2">
        <v>4.0800000000000003E-2</v>
      </c>
    </row>
    <row r="41" spans="1:9" x14ac:dyDescent="0.3">
      <c r="D41" s="2" t="s">
        <v>117</v>
      </c>
      <c r="E41" s="2" t="s">
        <v>118</v>
      </c>
    </row>
    <row r="42" spans="1:9" x14ac:dyDescent="0.3">
      <c r="B42" s="2">
        <v>6</v>
      </c>
      <c r="C42" s="2">
        <v>16</v>
      </c>
      <c r="D42" s="2">
        <f>MAX(D39:I40)</f>
        <v>1</v>
      </c>
      <c r="E42" s="2">
        <f>AVERAGE(D39:I40)</f>
        <v>0.39682857142857142</v>
      </c>
    </row>
    <row r="43" spans="1:9" x14ac:dyDescent="0.3">
      <c r="E43"/>
    </row>
    <row r="44" spans="1:9" x14ac:dyDescent="0.3">
      <c r="A44" s="1" t="s">
        <v>45</v>
      </c>
      <c r="B44" s="2">
        <v>8</v>
      </c>
      <c r="C44" s="2">
        <v>2</v>
      </c>
      <c r="D44" s="2">
        <v>1</v>
      </c>
    </row>
    <row r="45" spans="1:9" x14ac:dyDescent="0.3">
      <c r="A45" s="1" t="s">
        <v>44</v>
      </c>
      <c r="B45" s="2">
        <v>8</v>
      </c>
      <c r="C45" s="2">
        <v>2</v>
      </c>
      <c r="D45" s="2">
        <v>1</v>
      </c>
    </row>
    <row r="46" spans="1:9" x14ac:dyDescent="0.3">
      <c r="D46" s="2" t="s">
        <v>117</v>
      </c>
      <c r="E46" s="2" t="s">
        <v>118</v>
      </c>
    </row>
    <row r="47" spans="1:9" x14ac:dyDescent="0.3">
      <c r="B47" s="2">
        <v>8</v>
      </c>
      <c r="C47" s="2">
        <v>2</v>
      </c>
      <c r="D47" s="2">
        <f>MAX(D44:I45)</f>
        <v>1</v>
      </c>
      <c r="E47" s="2">
        <f>AVERAGE(D44:I45)</f>
        <v>1</v>
      </c>
    </row>
    <row r="49" spans="1:9" x14ac:dyDescent="0.3">
      <c r="A49" s="1" t="s">
        <v>16</v>
      </c>
      <c r="B49" s="2">
        <v>8</v>
      </c>
      <c r="C49" s="2">
        <v>4</v>
      </c>
      <c r="D49" s="2">
        <v>1</v>
      </c>
    </row>
    <row r="50" spans="1:9" x14ac:dyDescent="0.3">
      <c r="A50" s="1" t="s">
        <v>89</v>
      </c>
      <c r="B50" s="2">
        <v>8</v>
      </c>
      <c r="C50" s="2">
        <v>4</v>
      </c>
      <c r="D50" s="2">
        <v>1</v>
      </c>
      <c r="E50" s="2">
        <v>0.62129999999999996</v>
      </c>
      <c r="F50" s="2">
        <v>0.59650000000000003</v>
      </c>
    </row>
    <row r="51" spans="1:9" x14ac:dyDescent="0.3">
      <c r="D51" s="2" t="s">
        <v>117</v>
      </c>
      <c r="E51" s="2" t="s">
        <v>118</v>
      </c>
    </row>
    <row r="52" spans="1:9" x14ac:dyDescent="0.3">
      <c r="B52" s="2">
        <v>8</v>
      </c>
      <c r="C52" s="2">
        <v>4</v>
      </c>
      <c r="D52" s="2">
        <f>MAX(D49:I50)</f>
        <v>1</v>
      </c>
      <c r="E52" s="2">
        <f>AVERAGE(D49:I50)</f>
        <v>0.80444999999999989</v>
      </c>
    </row>
    <row r="54" spans="1:9" x14ac:dyDescent="0.3">
      <c r="A54" s="1" t="s">
        <v>43</v>
      </c>
      <c r="B54" s="2">
        <v>8</v>
      </c>
      <c r="C54" s="2">
        <v>6</v>
      </c>
      <c r="D54" s="2">
        <v>0.99870000000000003</v>
      </c>
      <c r="E54" s="2">
        <v>0.23949999999999999</v>
      </c>
    </row>
    <row r="55" spans="1:9" x14ac:dyDescent="0.3">
      <c r="A55" s="1" t="s">
        <v>42</v>
      </c>
      <c r="B55" s="2">
        <v>8</v>
      </c>
      <c r="C55" s="2">
        <v>6</v>
      </c>
      <c r="D55" s="2">
        <v>0.62339999999999995</v>
      </c>
      <c r="E55" s="2">
        <v>0.64549999999999996</v>
      </c>
      <c r="F55" s="2">
        <v>0.46910000000000002</v>
      </c>
      <c r="G55" s="2">
        <v>5.2600000000000001E-2</v>
      </c>
      <c r="H55" s="2">
        <v>0.20069999999999999</v>
      </c>
      <c r="I55" s="2">
        <v>0.1837</v>
      </c>
    </row>
    <row r="56" spans="1:9" x14ac:dyDescent="0.3">
      <c r="D56" s="2" t="s">
        <v>117</v>
      </c>
      <c r="E56" s="2" t="s">
        <v>118</v>
      </c>
    </row>
    <row r="57" spans="1:9" x14ac:dyDescent="0.3">
      <c r="B57" s="2">
        <v>8</v>
      </c>
      <c r="C57" s="2">
        <v>6</v>
      </c>
      <c r="D57" s="2">
        <f>MAX(D54:I55)</f>
        <v>0.99870000000000003</v>
      </c>
      <c r="E57" s="2">
        <f>AVERAGE(D54:I55)</f>
        <v>0.42664999999999997</v>
      </c>
    </row>
    <row r="59" spans="1:9" x14ac:dyDescent="0.3">
      <c r="A59" s="1" t="s">
        <v>41</v>
      </c>
      <c r="B59" s="2">
        <v>8</v>
      </c>
      <c r="C59" s="2">
        <v>8</v>
      </c>
      <c r="D59" s="2">
        <v>0.94240000000000002</v>
      </c>
    </row>
    <row r="60" spans="1:9" x14ac:dyDescent="0.3">
      <c r="A60" s="1" t="s">
        <v>40</v>
      </c>
      <c r="B60" s="2">
        <v>8</v>
      </c>
      <c r="C60" s="2">
        <v>8</v>
      </c>
      <c r="D60" s="2">
        <v>0.73670000000000002</v>
      </c>
      <c r="E60" s="2">
        <v>0.65469999999999995</v>
      </c>
      <c r="F60" s="2">
        <v>0.62990000000000002</v>
      </c>
      <c r="G60" s="2">
        <v>0.50870000000000004</v>
      </c>
      <c r="H60" s="2">
        <v>0.58069999999999999</v>
      </c>
      <c r="I60" s="2">
        <v>7.1000000000000004E-3</v>
      </c>
    </row>
    <row r="61" spans="1:9" x14ac:dyDescent="0.3">
      <c r="D61" s="2" t="s">
        <v>117</v>
      </c>
      <c r="E61" s="2" t="s">
        <v>118</v>
      </c>
    </row>
    <row r="62" spans="1:9" x14ac:dyDescent="0.3">
      <c r="B62" s="2">
        <v>8</v>
      </c>
      <c r="C62" s="2">
        <v>8</v>
      </c>
      <c r="D62" s="2">
        <f>MAX(D59:I60)</f>
        <v>0.94240000000000002</v>
      </c>
      <c r="E62" s="2">
        <f>AVERAGE(D59:I60)</f>
        <v>0.58002857142857156</v>
      </c>
    </row>
    <row r="64" spans="1:9" x14ac:dyDescent="0.3">
      <c r="A64" s="1" t="s">
        <v>39</v>
      </c>
      <c r="B64" s="2">
        <v>8</v>
      </c>
      <c r="C64" s="2">
        <v>10</v>
      </c>
      <c r="D64" s="2">
        <v>0.99270000000000003</v>
      </c>
      <c r="E64" s="2">
        <v>0.2571</v>
      </c>
      <c r="F64" s="2">
        <v>0.56620000000000004</v>
      </c>
    </row>
    <row r="65" spans="1:9" x14ac:dyDescent="0.3">
      <c r="A65" s="1" t="s">
        <v>38</v>
      </c>
      <c r="B65" s="2">
        <v>8</v>
      </c>
      <c r="C65" s="2">
        <v>10</v>
      </c>
      <c r="D65" s="2">
        <v>0.97009999999999996</v>
      </c>
    </row>
    <row r="66" spans="1:9" x14ac:dyDescent="0.3">
      <c r="D66" s="2" t="s">
        <v>117</v>
      </c>
      <c r="E66" s="2" t="s">
        <v>118</v>
      </c>
    </row>
    <row r="67" spans="1:9" x14ac:dyDescent="0.3">
      <c r="B67" s="2">
        <v>8</v>
      </c>
      <c r="C67" s="2">
        <v>10</v>
      </c>
      <c r="D67" s="2">
        <f>MAX(D64:I65)</f>
        <v>0.99270000000000003</v>
      </c>
      <c r="E67" s="2">
        <f>AVERAGE(D64:I65)</f>
        <v>0.69652500000000006</v>
      </c>
    </row>
    <row r="69" spans="1:9" x14ac:dyDescent="0.3">
      <c r="A69" s="1" t="s">
        <v>37</v>
      </c>
      <c r="B69" s="2">
        <v>8</v>
      </c>
      <c r="C69" s="2">
        <v>12</v>
      </c>
      <c r="D69" s="2">
        <v>0.23019999999999999</v>
      </c>
      <c r="E69" s="2">
        <v>0.18920000000000001</v>
      </c>
      <c r="F69" s="2">
        <v>9.8900000000000002E-2</v>
      </c>
      <c r="G69" s="2">
        <v>8.72E-2</v>
      </c>
      <c r="H69" s="2">
        <v>6.9999999999999999E-4</v>
      </c>
      <c r="I69" s="2">
        <v>1.4E-3</v>
      </c>
    </row>
    <row r="70" spans="1:9" x14ac:dyDescent="0.3">
      <c r="A70" s="1" t="s">
        <v>36</v>
      </c>
      <c r="B70" s="2">
        <v>8</v>
      </c>
      <c r="C70" s="2">
        <v>12</v>
      </c>
      <c r="D70" s="2">
        <v>0.78600000000000003</v>
      </c>
      <c r="E70" s="2">
        <v>0.49819999999999998</v>
      </c>
      <c r="F70" s="2">
        <v>0.8367</v>
      </c>
      <c r="G70" s="2">
        <v>0.1124</v>
      </c>
      <c r="H70" s="2">
        <v>0.8367</v>
      </c>
      <c r="I70" s="2">
        <v>0.71489999999999998</v>
      </c>
    </row>
    <row r="71" spans="1:9" x14ac:dyDescent="0.3">
      <c r="D71" s="2" t="s">
        <v>117</v>
      </c>
      <c r="E71" s="2" t="s">
        <v>118</v>
      </c>
    </row>
    <row r="72" spans="1:9" x14ac:dyDescent="0.3">
      <c r="B72" s="2">
        <v>8</v>
      </c>
      <c r="C72" s="2">
        <v>12</v>
      </c>
      <c r="D72" s="2">
        <f>MAX(D69:I70)</f>
        <v>0.8367</v>
      </c>
      <c r="E72" s="2">
        <f>AVERAGE(D69:I70)</f>
        <v>0.36604166666666665</v>
      </c>
    </row>
    <row r="74" spans="1:9" x14ac:dyDescent="0.3">
      <c r="A74" s="1" t="s">
        <v>35</v>
      </c>
      <c r="B74" s="2">
        <v>8</v>
      </c>
      <c r="C74" s="2">
        <v>14</v>
      </c>
      <c r="D74" s="2">
        <v>2.9999999999999997E-4</v>
      </c>
      <c r="E74" s="2">
        <v>0.30780000000000002</v>
      </c>
      <c r="F74" s="2">
        <v>0.16350000000000001</v>
      </c>
      <c r="G74" s="2">
        <v>0.1094</v>
      </c>
      <c r="H74" s="2">
        <v>1.04E-2</v>
      </c>
      <c r="I74" s="2">
        <v>1.2E-2</v>
      </c>
    </row>
    <row r="75" spans="1:9" x14ac:dyDescent="0.3">
      <c r="A75" s="1" t="s">
        <v>28</v>
      </c>
      <c r="B75" s="2">
        <v>8</v>
      </c>
      <c r="C75" s="2">
        <v>14</v>
      </c>
      <c r="D75" s="2">
        <v>0.22209999999999999</v>
      </c>
      <c r="E75" s="2">
        <v>0.19980000000000001</v>
      </c>
      <c r="F75" s="2">
        <v>0.21290000000000001</v>
      </c>
      <c r="G75" s="2">
        <v>0.22209999999999999</v>
      </c>
      <c r="H75" s="2">
        <v>0.16020000000000001</v>
      </c>
      <c r="I75" s="2">
        <v>2.8E-3</v>
      </c>
    </row>
    <row r="76" spans="1:9" x14ac:dyDescent="0.3">
      <c r="D76" s="2" t="s">
        <v>117</v>
      </c>
      <c r="E76" s="2" t="s">
        <v>118</v>
      </c>
    </row>
    <row r="77" spans="1:9" x14ac:dyDescent="0.3">
      <c r="B77" s="2">
        <v>8</v>
      </c>
      <c r="C77" s="2">
        <v>14</v>
      </c>
      <c r="D77" s="2">
        <f>MAX(D74:I75)</f>
        <v>0.30780000000000002</v>
      </c>
      <c r="E77" s="2">
        <f>AVERAGE(D74:I75)</f>
        <v>0.13527499999999998</v>
      </c>
    </row>
    <row r="79" spans="1:9" x14ac:dyDescent="0.3">
      <c r="A79" s="1" t="s">
        <v>17</v>
      </c>
      <c r="B79" s="2">
        <v>10</v>
      </c>
      <c r="C79" s="2">
        <v>4</v>
      </c>
      <c r="D79" s="2">
        <v>3.6900000000000002E-2</v>
      </c>
      <c r="E79" s="2">
        <v>7.1300000000000002E-2</v>
      </c>
      <c r="F79" s="2">
        <v>3.2500000000000001E-2</v>
      </c>
      <c r="G79" s="2">
        <v>0.18959999999999999</v>
      </c>
      <c r="H79" s="2">
        <v>0.18959999999999999</v>
      </c>
      <c r="I79" s="2">
        <v>0.18959999999999999</v>
      </c>
    </row>
    <row r="80" spans="1:9" x14ac:dyDescent="0.3">
      <c r="A80" s="1" t="s">
        <v>21</v>
      </c>
      <c r="B80" s="2">
        <v>10</v>
      </c>
      <c r="C80" s="2">
        <v>4</v>
      </c>
      <c r="D80" s="2">
        <v>0.2341</v>
      </c>
      <c r="E80" s="2">
        <v>3.5700000000000003E-2</v>
      </c>
      <c r="F80" s="2">
        <v>5.0599999999999999E-2</v>
      </c>
      <c r="G80" s="2">
        <v>0.2341</v>
      </c>
      <c r="H80" s="2">
        <v>5.2299999999999999E-2</v>
      </c>
      <c r="I80" s="2">
        <v>2.0299999999999999E-2</v>
      </c>
    </row>
    <row r="81" spans="1:9" x14ac:dyDescent="0.3">
      <c r="D81" s="2" t="s">
        <v>117</v>
      </c>
      <c r="E81" s="2" t="s">
        <v>118</v>
      </c>
    </row>
    <row r="82" spans="1:9" x14ac:dyDescent="0.3">
      <c r="B82" s="2">
        <v>10</v>
      </c>
      <c r="C82" s="2">
        <v>4</v>
      </c>
      <c r="D82" s="2">
        <f>MAX(D79:I80)</f>
        <v>0.2341</v>
      </c>
      <c r="E82" s="2">
        <f>AVERAGE(D79:I80)</f>
        <v>0.11138333333333333</v>
      </c>
    </row>
    <row r="84" spans="1:9" x14ac:dyDescent="0.3">
      <c r="A84" s="1" t="s">
        <v>51</v>
      </c>
      <c r="B84" s="2">
        <v>12</v>
      </c>
      <c r="C84" s="2">
        <v>2</v>
      </c>
      <c r="D84" s="2">
        <v>0.29070000000000001</v>
      </c>
      <c r="E84" s="2">
        <v>2.3199999999999998E-2</v>
      </c>
      <c r="F84" s="2">
        <v>2.3199999999999998E-2</v>
      </c>
      <c r="G84" s="2">
        <v>2.9999999999999997E-4</v>
      </c>
      <c r="H84" s="2">
        <v>2.9999999999999997E-4</v>
      </c>
      <c r="I84" s="2">
        <v>2.9999999999999997E-4</v>
      </c>
    </row>
    <row r="85" spans="1:9" x14ac:dyDescent="0.3">
      <c r="A85" s="1" t="s">
        <v>50</v>
      </c>
      <c r="B85" s="2">
        <v>12</v>
      </c>
      <c r="C85" s="2">
        <v>2</v>
      </c>
      <c r="D85" s="2">
        <v>1</v>
      </c>
      <c r="E85" s="2">
        <v>0.3891</v>
      </c>
      <c r="F85" s="2">
        <v>8.5500000000000007E-2</v>
      </c>
      <c r="G85" s="2">
        <v>0.26719999999999999</v>
      </c>
    </row>
    <row r="86" spans="1:9" x14ac:dyDescent="0.3">
      <c r="D86" s="2" t="s">
        <v>117</v>
      </c>
      <c r="E86" s="2" t="s">
        <v>118</v>
      </c>
    </row>
    <row r="87" spans="1:9" x14ac:dyDescent="0.3">
      <c r="B87" s="2">
        <v>12</v>
      </c>
      <c r="C87" s="2">
        <v>2</v>
      </c>
      <c r="D87" s="2">
        <f>MAX(D84:I85)</f>
        <v>1</v>
      </c>
      <c r="E87" s="2">
        <f>AVERAGE(D84:I85)</f>
        <v>0.20798</v>
      </c>
    </row>
    <row r="89" spans="1:9" x14ac:dyDescent="0.3">
      <c r="A89" s="1" t="s">
        <v>49</v>
      </c>
      <c r="B89" s="2">
        <v>12</v>
      </c>
      <c r="C89" s="2">
        <v>4</v>
      </c>
      <c r="D89" s="2">
        <v>1E-4</v>
      </c>
      <c r="E89" s="2">
        <v>2.0000000000000001E-4</v>
      </c>
      <c r="F89" s="2">
        <v>2.0000000000000001E-4</v>
      </c>
      <c r="G89" s="2">
        <v>2.0000000000000001E-4</v>
      </c>
      <c r="H89" s="2">
        <v>2.0000000000000001E-4</v>
      </c>
      <c r="I89" s="2">
        <v>2.0000000000000001E-4</v>
      </c>
    </row>
    <row r="90" spans="1:9" x14ac:dyDescent="0.3">
      <c r="A90" s="1" t="s">
        <v>48</v>
      </c>
      <c r="B90" s="2">
        <v>12</v>
      </c>
      <c r="C90" s="2">
        <v>4</v>
      </c>
      <c r="D90" s="2">
        <v>0.24790000000000001</v>
      </c>
      <c r="E90" s="2">
        <v>0.1283</v>
      </c>
      <c r="F90" s="2">
        <v>0.1459</v>
      </c>
      <c r="G90" s="2">
        <v>1.1999999999999999E-3</v>
      </c>
      <c r="H90" s="2">
        <v>4.3099999999999999E-2</v>
      </c>
      <c r="I90" s="2">
        <v>0.14599999999999999</v>
      </c>
    </row>
    <row r="91" spans="1:9" x14ac:dyDescent="0.3">
      <c r="D91" s="2" t="s">
        <v>117</v>
      </c>
      <c r="E91" s="2" t="s">
        <v>118</v>
      </c>
    </row>
    <row r="92" spans="1:9" x14ac:dyDescent="0.3">
      <c r="B92" s="2">
        <v>12</v>
      </c>
      <c r="C92" s="2">
        <v>4</v>
      </c>
      <c r="D92" s="2">
        <f>MAX(D89:I90)</f>
        <v>0.24790000000000001</v>
      </c>
      <c r="E92" s="2">
        <f>AVERAGE(D89:I90)</f>
        <v>5.9458333333333335E-2</v>
      </c>
    </row>
    <row r="94" spans="1:9" x14ac:dyDescent="0.3">
      <c r="A94" s="1" t="s">
        <v>47</v>
      </c>
      <c r="B94" s="2">
        <v>12</v>
      </c>
      <c r="C94" s="2">
        <v>6</v>
      </c>
      <c r="D94" s="2">
        <v>2.7000000000000001E-3</v>
      </c>
      <c r="E94" s="2">
        <v>6.0000000000000001E-3</v>
      </c>
      <c r="F94" s="2">
        <v>2.3699999999999999E-2</v>
      </c>
      <c r="G94" s="2">
        <v>3.5000000000000001E-3</v>
      </c>
      <c r="H94" s="2">
        <v>2.8999999999999998E-3</v>
      </c>
      <c r="I94" s="2">
        <v>1.2999999999999999E-3</v>
      </c>
    </row>
    <row r="95" spans="1:9" x14ac:dyDescent="0.3">
      <c r="A95" s="1" t="s">
        <v>46</v>
      </c>
      <c r="B95" s="2">
        <v>12</v>
      </c>
      <c r="C95" s="2">
        <v>6</v>
      </c>
      <c r="D95" s="2">
        <v>5.5999999999999999E-3</v>
      </c>
      <c r="E95" s="2">
        <v>8.0799999999999997E-2</v>
      </c>
      <c r="F95" s="2">
        <v>4.82E-2</v>
      </c>
      <c r="G95" s="2">
        <v>8.1900000000000001E-2</v>
      </c>
      <c r="H95" s="2">
        <v>8.0799999999999997E-2</v>
      </c>
      <c r="I95" s="2">
        <v>8.2299999999999998E-2</v>
      </c>
    </row>
    <row r="96" spans="1:9" x14ac:dyDescent="0.3">
      <c r="D96" s="2" t="s">
        <v>117</v>
      </c>
      <c r="E96" s="2" t="s">
        <v>118</v>
      </c>
    </row>
    <row r="97" spans="1:17" x14ac:dyDescent="0.3">
      <c r="B97" s="2">
        <v>12</v>
      </c>
      <c r="C97" s="2">
        <v>4</v>
      </c>
      <c r="D97" s="2">
        <f>MAX(D94:I95)</f>
        <v>8.2299999999999998E-2</v>
      </c>
      <c r="E97" s="2">
        <f>AVERAGE(D94:I95)</f>
        <v>3.4974999999999999E-2</v>
      </c>
    </row>
    <row r="105" spans="1:17" x14ac:dyDescent="0.3">
      <c r="A105" s="1" t="s">
        <v>54</v>
      </c>
      <c r="B105" s="2">
        <v>5</v>
      </c>
      <c r="C105" s="2">
        <v>10</v>
      </c>
      <c r="D105" s="2">
        <v>1</v>
      </c>
      <c r="H105"/>
      <c r="I105"/>
      <c r="L105" s="2"/>
      <c r="M105" s="2"/>
      <c r="N105" s="2"/>
      <c r="O105" s="2"/>
      <c r="P105" s="2"/>
      <c r="Q105" s="2"/>
    </row>
    <row r="106" spans="1:17" x14ac:dyDescent="0.3">
      <c r="A106" s="1" t="s">
        <v>55</v>
      </c>
      <c r="B106" s="2">
        <v>5</v>
      </c>
      <c r="C106" s="2">
        <v>10</v>
      </c>
      <c r="D106" s="2">
        <v>1</v>
      </c>
      <c r="H106"/>
      <c r="I106"/>
      <c r="L106" s="2"/>
      <c r="M106" s="2"/>
      <c r="N106" s="2"/>
      <c r="O106" s="2"/>
      <c r="P106" s="2"/>
      <c r="Q106" s="2"/>
    </row>
    <row r="107" spans="1:17" x14ac:dyDescent="0.3">
      <c r="A107" s="1" t="s">
        <v>56</v>
      </c>
      <c r="B107" s="2">
        <v>5</v>
      </c>
      <c r="C107" s="2">
        <v>10</v>
      </c>
      <c r="D107" s="2">
        <v>1</v>
      </c>
      <c r="H107"/>
      <c r="I107"/>
      <c r="L107" s="2"/>
      <c r="M107" s="2"/>
      <c r="N107" s="2"/>
      <c r="O107" s="2"/>
      <c r="P107" s="2"/>
      <c r="Q107" s="2"/>
    </row>
    <row r="108" spans="1:17" x14ac:dyDescent="0.3">
      <c r="D108" s="2" t="s">
        <v>117</v>
      </c>
      <c r="E108" s="2" t="s">
        <v>118</v>
      </c>
      <c r="F108"/>
      <c r="H108"/>
      <c r="I108"/>
      <c r="L108" s="2"/>
      <c r="M108" s="2"/>
      <c r="N108" s="2"/>
      <c r="O108" s="2"/>
      <c r="P108" s="2"/>
      <c r="Q108" s="2"/>
    </row>
    <row r="109" spans="1:17" x14ac:dyDescent="0.3">
      <c r="B109" s="2">
        <v>5</v>
      </c>
      <c r="C109" s="2">
        <v>10</v>
      </c>
      <c r="D109" s="2">
        <f>MAX(D105:I107)</f>
        <v>1</v>
      </c>
      <c r="E109" s="2">
        <f>AVERAGE(D105:I107)</f>
        <v>1</v>
      </c>
      <c r="F109"/>
      <c r="H109"/>
      <c r="I109"/>
      <c r="L109" s="2"/>
      <c r="M109" s="2"/>
      <c r="N109" s="2"/>
      <c r="O109" s="2"/>
      <c r="P109" s="2"/>
      <c r="Q109" s="2"/>
    </row>
    <row r="110" spans="1:17" x14ac:dyDescent="0.3">
      <c r="D110"/>
      <c r="E110"/>
      <c r="F110"/>
      <c r="H110"/>
      <c r="I110"/>
      <c r="L110" s="2"/>
      <c r="M110" s="2"/>
      <c r="N110" s="2"/>
      <c r="O110" s="2"/>
      <c r="P110" s="2"/>
      <c r="Q110" s="2"/>
    </row>
    <row r="111" spans="1:17" x14ac:dyDescent="0.3">
      <c r="A111" s="1" t="s">
        <v>125</v>
      </c>
      <c r="B111" s="2">
        <v>8</v>
      </c>
      <c r="C111" s="2">
        <v>16</v>
      </c>
      <c r="D111">
        <v>1</v>
      </c>
      <c r="E111"/>
      <c r="F111"/>
      <c r="H111"/>
      <c r="I111"/>
      <c r="L111" s="2"/>
      <c r="M111" s="2"/>
      <c r="N111" s="2"/>
      <c r="O111" s="2"/>
      <c r="P111" s="2"/>
      <c r="Q111" s="2"/>
    </row>
    <row r="112" spans="1:17" x14ac:dyDescent="0.3">
      <c r="D112" s="2" t="s">
        <v>117</v>
      </c>
      <c r="E112" s="2" t="s">
        <v>118</v>
      </c>
      <c r="F112"/>
      <c r="H112"/>
      <c r="I112"/>
      <c r="L112" s="2"/>
      <c r="M112" s="2"/>
      <c r="N112" s="2"/>
      <c r="O112" s="2"/>
      <c r="P112" s="2"/>
      <c r="Q112" s="2"/>
    </row>
    <row r="113" spans="1:17" x14ac:dyDescent="0.3">
      <c r="B113" s="2">
        <v>5</v>
      </c>
      <c r="C113" s="2">
        <v>16</v>
      </c>
      <c r="D113" s="2">
        <f>MAX(D109:I111)</f>
        <v>1</v>
      </c>
      <c r="E113" s="2">
        <f>AVERAGE(D109:I111)</f>
        <v>1</v>
      </c>
      <c r="F113"/>
      <c r="H113"/>
      <c r="I113"/>
      <c r="L113" s="2"/>
      <c r="M113" s="2"/>
      <c r="N113" s="2"/>
      <c r="O113" s="2"/>
      <c r="P113" s="2"/>
      <c r="Q113" s="2"/>
    </row>
    <row r="114" spans="1:17" x14ac:dyDescent="0.3">
      <c r="D114"/>
      <c r="E114"/>
      <c r="F114"/>
      <c r="H114"/>
      <c r="I114"/>
      <c r="L114" s="2"/>
      <c r="M114" s="2"/>
      <c r="N114" s="2"/>
      <c r="O114" s="2"/>
      <c r="P114" s="2"/>
      <c r="Q114" s="2"/>
    </row>
    <row r="115" spans="1:17" x14ac:dyDescent="0.3">
      <c r="A115" s="1" t="s">
        <v>57</v>
      </c>
      <c r="B115" s="2">
        <v>5</v>
      </c>
      <c r="C115" s="2">
        <v>37</v>
      </c>
      <c r="D115" s="2">
        <v>1</v>
      </c>
      <c r="H115"/>
      <c r="I115"/>
      <c r="L115" s="2"/>
      <c r="M115" s="2"/>
      <c r="N115" s="2"/>
      <c r="O115" s="2"/>
      <c r="P115" s="2"/>
      <c r="Q115" s="2"/>
    </row>
    <row r="116" spans="1:17" x14ac:dyDescent="0.3">
      <c r="A116" s="1" t="s">
        <v>58</v>
      </c>
      <c r="B116" s="2">
        <v>5</v>
      </c>
      <c r="C116" s="2">
        <v>17</v>
      </c>
      <c r="D116" s="2">
        <v>1</v>
      </c>
      <c r="H116"/>
      <c r="I116"/>
      <c r="L116" s="2"/>
      <c r="M116" s="2"/>
      <c r="N116" s="2"/>
      <c r="O116" s="2"/>
      <c r="P116" s="2"/>
      <c r="Q116" s="2"/>
    </row>
    <row r="117" spans="1:17" x14ac:dyDescent="0.3">
      <c r="A117" s="1" t="s">
        <v>57</v>
      </c>
      <c r="B117" s="2">
        <v>5</v>
      </c>
      <c r="C117" s="2">
        <v>37</v>
      </c>
      <c r="D117" s="2">
        <v>1</v>
      </c>
      <c r="H117"/>
      <c r="I117"/>
      <c r="L117" s="2"/>
      <c r="M117" s="2"/>
      <c r="N117" s="2"/>
      <c r="O117" s="2"/>
      <c r="P117" s="2"/>
      <c r="Q117" s="2"/>
    </row>
    <row r="118" spans="1:17" x14ac:dyDescent="0.3">
      <c r="A118" s="1" t="s">
        <v>119</v>
      </c>
      <c r="B118" s="2">
        <v>5</v>
      </c>
      <c r="C118" s="2">
        <v>4</v>
      </c>
      <c r="D118" s="2">
        <v>1</v>
      </c>
      <c r="H118"/>
      <c r="I118"/>
      <c r="L118" s="2"/>
      <c r="M118" s="2"/>
      <c r="N118" s="2"/>
      <c r="O118" s="2"/>
      <c r="P118" s="2"/>
      <c r="Q118" s="2"/>
    </row>
    <row r="119" spans="1:17" x14ac:dyDescent="0.3">
      <c r="A119" s="1" t="s">
        <v>120</v>
      </c>
      <c r="B119" s="2">
        <v>8</v>
      </c>
      <c r="C119" s="2">
        <v>8</v>
      </c>
      <c r="D119" s="2">
        <v>1</v>
      </c>
      <c r="H119"/>
      <c r="I119"/>
      <c r="L119" s="2"/>
      <c r="M119" s="2"/>
      <c r="N119" s="2"/>
      <c r="O119" s="2"/>
      <c r="P119" s="2"/>
      <c r="Q119" s="2"/>
    </row>
    <row r="120" spans="1:17" x14ac:dyDescent="0.3">
      <c r="H120"/>
      <c r="I120"/>
      <c r="L120" s="2"/>
      <c r="M120" s="2"/>
      <c r="N120" s="2"/>
      <c r="O120" s="2"/>
      <c r="P120" s="2"/>
      <c r="Q120" s="2"/>
    </row>
    <row r="121" spans="1:17" x14ac:dyDescent="0.3">
      <c r="H121"/>
      <c r="I121"/>
      <c r="L121" s="2"/>
      <c r="M121" s="2"/>
      <c r="N121" s="2"/>
      <c r="O121" s="2"/>
      <c r="P121" s="2"/>
      <c r="Q121" s="2"/>
    </row>
    <row r="122" spans="1:17" x14ac:dyDescent="0.3">
      <c r="H122"/>
      <c r="I122"/>
      <c r="L122" s="2"/>
      <c r="M122" s="2"/>
      <c r="N122" s="2"/>
      <c r="O122" s="2"/>
      <c r="P122" s="2"/>
      <c r="Q122" s="2"/>
    </row>
    <row r="123" spans="1:17" x14ac:dyDescent="0.3">
      <c r="A123" s="1" t="s">
        <v>121</v>
      </c>
      <c r="B123" s="2">
        <v>10</v>
      </c>
      <c r="C123" s="2">
        <v>15</v>
      </c>
      <c r="D123" s="2">
        <v>1</v>
      </c>
      <c r="E123" s="2">
        <v>0.5625</v>
      </c>
      <c r="F123" s="2">
        <v>0.33329999999999999</v>
      </c>
      <c r="H123"/>
      <c r="I123"/>
      <c r="L123" s="2"/>
      <c r="M123" s="2"/>
      <c r="N123" s="2"/>
      <c r="O123" s="2"/>
      <c r="P123" s="2"/>
      <c r="Q123" s="2"/>
    </row>
    <row r="124" spans="1:17" x14ac:dyDescent="0.3">
      <c r="D124" s="2" t="s">
        <v>117</v>
      </c>
      <c r="E124" s="2" t="s">
        <v>118</v>
      </c>
      <c r="H124"/>
      <c r="I124"/>
      <c r="L124" s="2"/>
      <c r="M124" s="2"/>
      <c r="N124" s="2"/>
      <c r="O124" s="2"/>
      <c r="P124" s="2"/>
      <c r="Q124" s="2"/>
    </row>
    <row r="125" spans="1:17" x14ac:dyDescent="0.3">
      <c r="B125" s="2">
        <v>10</v>
      </c>
      <c r="C125" s="2">
        <v>15</v>
      </c>
      <c r="D125" s="2">
        <f>MAX(D123:I123)</f>
        <v>1</v>
      </c>
      <c r="E125" s="2">
        <f>AVERAGE(D123:I123)</f>
        <v>0.63193333333333335</v>
      </c>
      <c r="H125"/>
      <c r="I125"/>
      <c r="L125" s="2"/>
      <c r="M125" s="2"/>
      <c r="N125" s="2"/>
      <c r="O125" s="2"/>
      <c r="P125" s="2"/>
      <c r="Q125" s="2"/>
    </row>
    <row r="126" spans="1:17" x14ac:dyDescent="0.3">
      <c r="H126"/>
      <c r="I126"/>
      <c r="L126" s="2"/>
      <c r="M126" s="2"/>
      <c r="N126" s="2"/>
      <c r="O126" s="2"/>
      <c r="P126" s="2"/>
      <c r="Q126" s="2"/>
    </row>
    <row r="127" spans="1:17" x14ac:dyDescent="0.3">
      <c r="A127" s="1" t="s">
        <v>122</v>
      </c>
      <c r="B127" s="2">
        <v>5</v>
      </c>
      <c r="C127" s="2">
        <v>5</v>
      </c>
      <c r="D127" s="2">
        <v>1</v>
      </c>
      <c r="H127"/>
      <c r="I127"/>
      <c r="L127" s="2"/>
      <c r="M127" s="2"/>
      <c r="N127" s="2"/>
      <c r="O127" s="2"/>
      <c r="P127" s="2"/>
      <c r="Q127" s="2"/>
    </row>
    <row r="128" spans="1:17" x14ac:dyDescent="0.3">
      <c r="A128" s="1" t="s">
        <v>123</v>
      </c>
      <c r="B128" s="2">
        <v>8</v>
      </c>
      <c r="C128" s="2">
        <v>6</v>
      </c>
      <c r="D128" s="2">
        <v>1</v>
      </c>
      <c r="H128"/>
      <c r="I128"/>
      <c r="L128" s="2"/>
      <c r="M128" s="2"/>
      <c r="N128" s="2"/>
      <c r="O128" s="2"/>
      <c r="P128" s="2"/>
      <c r="Q128" s="2"/>
    </row>
    <row r="129" spans="1:17" x14ac:dyDescent="0.3">
      <c r="A129" s="1" t="s">
        <v>124</v>
      </c>
      <c r="B129" s="2">
        <v>10</v>
      </c>
      <c r="C129" s="2">
        <v>3</v>
      </c>
      <c r="D129" s="2">
        <v>1</v>
      </c>
      <c r="H129"/>
      <c r="I129"/>
      <c r="L129" s="2"/>
      <c r="M129" s="2"/>
      <c r="N129" s="2"/>
      <c r="O129" s="2"/>
      <c r="P129" s="2"/>
      <c r="Q129" s="2"/>
    </row>
    <row r="130" spans="1:17" x14ac:dyDescent="0.3">
      <c r="H130"/>
      <c r="I130"/>
      <c r="L130" s="2"/>
      <c r="M130" s="2"/>
      <c r="N130" s="2"/>
      <c r="O130" s="2"/>
      <c r="P130" s="2"/>
      <c r="Q130" s="2"/>
    </row>
    <row r="131" spans="1:17" x14ac:dyDescent="0.3">
      <c r="H131"/>
      <c r="I131"/>
      <c r="L131" s="2"/>
      <c r="M131" s="2"/>
      <c r="N131" s="2"/>
      <c r="O131" s="2"/>
      <c r="P131" s="2"/>
      <c r="Q131" s="2"/>
    </row>
    <row r="132" spans="1:17" x14ac:dyDescent="0.3">
      <c r="H132"/>
      <c r="I132"/>
      <c r="L132" s="2"/>
      <c r="M132" s="2"/>
      <c r="N132" s="2"/>
      <c r="O132" s="2"/>
      <c r="P132" s="2"/>
      <c r="Q132" s="2"/>
    </row>
    <row r="133" spans="1:17" x14ac:dyDescent="0.3">
      <c r="H133"/>
      <c r="I133"/>
      <c r="L133" s="2"/>
      <c r="M133" s="2"/>
      <c r="N133" s="2"/>
      <c r="O133" s="2"/>
      <c r="P133" s="2"/>
      <c r="Q133" s="2"/>
    </row>
    <row r="134" spans="1:17" x14ac:dyDescent="0.3">
      <c r="H134"/>
      <c r="I134"/>
      <c r="L134" s="2"/>
      <c r="M134" s="2"/>
      <c r="N134" s="2"/>
      <c r="O134" s="2"/>
      <c r="P134" s="2"/>
      <c r="Q134" s="2"/>
    </row>
    <row r="135" spans="1:17" x14ac:dyDescent="0.3">
      <c r="H135"/>
      <c r="I135"/>
      <c r="L135" s="2"/>
      <c r="M135" s="2"/>
      <c r="N135" s="2"/>
      <c r="O135" s="2"/>
      <c r="P135" s="2"/>
      <c r="Q135" s="2"/>
    </row>
    <row r="136" spans="1:17" x14ac:dyDescent="0.3">
      <c r="H136"/>
      <c r="I136"/>
      <c r="L136" s="2"/>
      <c r="M136" s="2"/>
      <c r="N136" s="2"/>
      <c r="O136" s="2"/>
      <c r="P136" s="2"/>
      <c r="Q136" s="2"/>
    </row>
    <row r="137" spans="1:17" x14ac:dyDescent="0.3">
      <c r="H137"/>
      <c r="I137"/>
      <c r="L137" s="2"/>
      <c r="M137" s="2"/>
      <c r="N137" s="2"/>
      <c r="O137" s="2"/>
      <c r="P137" s="2"/>
      <c r="Q13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1A17-576E-46E4-A940-56401F647736}">
  <dimension ref="A2:Q225"/>
  <sheetViews>
    <sheetView tabSelected="1" zoomScale="115" zoomScaleNormal="115" workbookViewId="0">
      <pane ySplit="2" topLeftCell="A186" activePane="bottomLeft" state="frozen"/>
      <selection pane="bottomLeft" activeCell="J199" sqref="J199"/>
    </sheetView>
  </sheetViews>
  <sheetFormatPr defaultRowHeight="14.4" x14ac:dyDescent="0.3"/>
  <cols>
    <col min="1" max="1" width="21.88671875" style="1" bestFit="1" customWidth="1"/>
    <col min="2" max="2" width="11.77734375" style="2" bestFit="1" customWidth="1"/>
    <col min="3" max="4" width="8.88671875" style="2"/>
    <col min="5" max="9" width="9.77734375" style="2" bestFit="1" customWidth="1"/>
  </cols>
  <sheetData>
    <row r="2" spans="1:10" x14ac:dyDescent="0.3">
      <c r="A2" s="1" t="s">
        <v>0</v>
      </c>
      <c r="B2" s="2" t="s">
        <v>1</v>
      </c>
      <c r="C2" s="2" t="s">
        <v>2</v>
      </c>
      <c r="D2" s="2" t="s">
        <v>6</v>
      </c>
      <c r="E2" s="2" t="s">
        <v>13</v>
      </c>
      <c r="F2" s="2" t="s">
        <v>14</v>
      </c>
      <c r="G2" s="2" t="s">
        <v>18</v>
      </c>
      <c r="H2" s="2" t="s">
        <v>19</v>
      </c>
      <c r="I2" s="2" t="s">
        <v>20</v>
      </c>
    </row>
    <row r="3" spans="1:10" x14ac:dyDescent="0.3">
      <c r="A3" s="1" t="s">
        <v>4</v>
      </c>
      <c r="B3" s="2">
        <v>2</v>
      </c>
      <c r="C3" s="2">
        <v>2</v>
      </c>
      <c r="D3" s="2">
        <v>1</v>
      </c>
    </row>
    <row r="4" spans="1:10" x14ac:dyDescent="0.3">
      <c r="A4" s="1" t="s">
        <v>3</v>
      </c>
      <c r="B4" s="2">
        <v>2</v>
      </c>
      <c r="C4" s="2">
        <v>2</v>
      </c>
      <c r="D4" s="2">
        <v>1</v>
      </c>
    </row>
    <row r="5" spans="1:10" x14ac:dyDescent="0.3">
      <c r="A5" s="1" t="s">
        <v>59</v>
      </c>
      <c r="B5" s="2">
        <v>2</v>
      </c>
      <c r="C5" s="2">
        <v>2</v>
      </c>
      <c r="D5" s="2">
        <v>1</v>
      </c>
    </row>
    <row r="6" spans="1:10" x14ac:dyDescent="0.3">
      <c r="A6" s="1" t="s">
        <v>60</v>
      </c>
      <c r="B6" s="2">
        <v>2</v>
      </c>
      <c r="C6" s="2">
        <v>2</v>
      </c>
      <c r="D6" s="2">
        <v>1</v>
      </c>
    </row>
    <row r="7" spans="1:10" x14ac:dyDescent="0.3">
      <c r="A7" s="1" t="s">
        <v>61</v>
      </c>
      <c r="B7" s="2">
        <v>2</v>
      </c>
      <c r="C7" s="2">
        <v>2</v>
      </c>
      <c r="D7" s="2">
        <v>1</v>
      </c>
    </row>
    <row r="8" spans="1:10" x14ac:dyDescent="0.3">
      <c r="D8" s="2" t="s">
        <v>117</v>
      </c>
      <c r="E8" s="2" t="s">
        <v>118</v>
      </c>
    </row>
    <row r="9" spans="1:10" x14ac:dyDescent="0.3">
      <c r="B9" s="2">
        <f>B7</f>
        <v>2</v>
      </c>
      <c r="C9" s="2">
        <f>C7</f>
        <v>2</v>
      </c>
      <c r="D9" s="2">
        <f>MAX(D3:I7)</f>
        <v>1</v>
      </c>
      <c r="E9" s="2">
        <f>AVERAGE(D3:I7)</f>
        <v>1</v>
      </c>
    </row>
    <row r="11" spans="1:10" x14ac:dyDescent="0.3">
      <c r="A11" s="1" t="s">
        <v>8</v>
      </c>
      <c r="B11" s="2">
        <v>3</v>
      </c>
      <c r="C11" s="2">
        <v>6</v>
      </c>
      <c r="D11" s="2">
        <v>0.99629999999999996</v>
      </c>
    </row>
    <row r="12" spans="1:10" x14ac:dyDescent="0.3">
      <c r="A12" s="1" t="s">
        <v>7</v>
      </c>
      <c r="B12" s="2">
        <v>3</v>
      </c>
      <c r="C12" s="2">
        <v>6</v>
      </c>
      <c r="D12" s="2">
        <v>6.0999999999999999E-2</v>
      </c>
      <c r="E12" s="2">
        <v>1.44E-2</v>
      </c>
      <c r="J12" t="s">
        <v>65</v>
      </c>
    </row>
    <row r="13" spans="1:10" x14ac:dyDescent="0.3">
      <c r="A13" s="1" t="s">
        <v>62</v>
      </c>
      <c r="B13" s="2">
        <v>3</v>
      </c>
      <c r="C13" s="2">
        <v>6</v>
      </c>
      <c r="D13" s="2">
        <v>8.9300000000000004E-2</v>
      </c>
      <c r="E13" s="2">
        <v>7.8100000000000003E-2</v>
      </c>
      <c r="F13" s="2">
        <v>5.8700000000000002E-2</v>
      </c>
      <c r="G13" s="2">
        <v>7.1400000000000005E-2</v>
      </c>
      <c r="H13" s="2">
        <v>0.20960000000000001</v>
      </c>
      <c r="I13" s="2">
        <v>4.9099999999999998E-2</v>
      </c>
    </row>
    <row r="14" spans="1:10" x14ac:dyDescent="0.3">
      <c r="A14" s="1" t="s">
        <v>63</v>
      </c>
      <c r="B14" s="2">
        <v>3</v>
      </c>
      <c r="C14" s="2">
        <v>6</v>
      </c>
      <c r="D14" s="2">
        <v>0.1308</v>
      </c>
      <c r="E14" s="2">
        <v>0.46860000000000002</v>
      </c>
      <c r="F14" s="2">
        <v>0.50149999999999995</v>
      </c>
      <c r="G14" s="2">
        <v>0.20569999999999999</v>
      </c>
      <c r="H14" s="2">
        <v>0.2253</v>
      </c>
      <c r="I14" s="2">
        <v>1.6999999999999999E-3</v>
      </c>
    </row>
    <row r="15" spans="1:10" x14ac:dyDescent="0.3">
      <c r="A15" s="1" t="s">
        <v>64</v>
      </c>
      <c r="B15" s="2">
        <v>3</v>
      </c>
      <c r="C15" s="2">
        <v>6</v>
      </c>
      <c r="D15" s="2">
        <v>0.13389999999999999</v>
      </c>
      <c r="E15" s="2">
        <v>6.1499999999999999E-2</v>
      </c>
      <c r="F15" s="2">
        <v>0.29799999999999999</v>
      </c>
      <c r="G15" s="2">
        <v>1.6400000000000001E-2</v>
      </c>
      <c r="H15" s="2">
        <v>0.16</v>
      </c>
      <c r="I15" s="2">
        <v>0.4299</v>
      </c>
    </row>
    <row r="16" spans="1:10" x14ac:dyDescent="0.3">
      <c r="D16" s="2" t="s">
        <v>117</v>
      </c>
      <c r="E16" s="2" t="s">
        <v>118</v>
      </c>
    </row>
    <row r="17" spans="1:9" x14ac:dyDescent="0.3">
      <c r="B17" s="2">
        <f>B15</f>
        <v>3</v>
      </c>
      <c r="C17" s="2">
        <f>C15</f>
        <v>6</v>
      </c>
      <c r="D17" s="2">
        <f>MAX(D11:I15)</f>
        <v>0.99629999999999996</v>
      </c>
      <c r="E17" s="2">
        <f>AVERAGE(D11:I15)</f>
        <v>0.20291428571428574</v>
      </c>
    </row>
    <row r="19" spans="1:9" x14ac:dyDescent="0.3">
      <c r="A19" s="1" t="s">
        <v>23</v>
      </c>
      <c r="B19" s="2">
        <v>4</v>
      </c>
      <c r="C19" s="2">
        <v>10</v>
      </c>
      <c r="D19" s="2">
        <v>3.0999999999999999E-3</v>
      </c>
      <c r="E19" s="2">
        <v>2.6200000000000001E-2</v>
      </c>
      <c r="F19" s="2">
        <v>1.7899999999999999E-2</v>
      </c>
      <c r="G19" s="2">
        <v>5.4899999999999997E-2</v>
      </c>
      <c r="H19" s="2">
        <v>2.8199999999999999E-2</v>
      </c>
      <c r="I19" s="2">
        <v>4.1099999999999998E-2</v>
      </c>
    </row>
    <row r="20" spans="1:9" x14ac:dyDescent="0.3">
      <c r="A20" s="1" t="s">
        <v>66</v>
      </c>
      <c r="B20" s="2">
        <v>4</v>
      </c>
      <c r="C20" s="2">
        <v>10</v>
      </c>
      <c r="D20" s="2">
        <v>1.5599999999999999E-2</v>
      </c>
      <c r="E20" s="2">
        <v>7.6100000000000001E-2</v>
      </c>
      <c r="F20" s="2">
        <v>4.4999999999999997E-3</v>
      </c>
      <c r="G20" s="2">
        <v>0.13739999999999999</v>
      </c>
      <c r="H20" s="2">
        <v>6.1800000000000001E-2</v>
      </c>
      <c r="I20" s="2">
        <v>0.19</v>
      </c>
    </row>
    <row r="21" spans="1:9" x14ac:dyDescent="0.3">
      <c r="A21" s="1" t="s">
        <v>67</v>
      </c>
      <c r="B21" s="2">
        <v>4</v>
      </c>
      <c r="C21" s="2">
        <v>10</v>
      </c>
      <c r="D21" s="2">
        <v>0.04</v>
      </c>
      <c r="E21" s="2">
        <v>2.92E-2</v>
      </c>
      <c r="F21" s="2">
        <v>5.5599999999999997E-2</v>
      </c>
      <c r="G21" s="2">
        <v>0.1096</v>
      </c>
      <c r="H21" s="2">
        <v>8.9999999999999993E-3</v>
      </c>
      <c r="I21" s="2">
        <v>8.8000000000000005E-3</v>
      </c>
    </row>
    <row r="22" spans="1:9" x14ac:dyDescent="0.3">
      <c r="A22" s="1" t="s">
        <v>68</v>
      </c>
      <c r="B22" s="2">
        <v>4</v>
      </c>
      <c r="C22" s="2">
        <v>10</v>
      </c>
      <c r="D22" s="2">
        <v>1.23E-2</v>
      </c>
      <c r="E22" s="2">
        <v>5.4199999999999998E-2</v>
      </c>
      <c r="F22" s="2">
        <v>4.8099999999999997E-2</v>
      </c>
      <c r="G22" s="2">
        <v>4.2500000000000003E-2</v>
      </c>
      <c r="H22" s="2">
        <v>2.81E-2</v>
      </c>
      <c r="I22" s="2">
        <v>6.4000000000000001E-2</v>
      </c>
    </row>
    <row r="23" spans="1:9" x14ac:dyDescent="0.3">
      <c r="D23" s="2" t="s">
        <v>117</v>
      </c>
      <c r="E23" s="2" t="s">
        <v>118</v>
      </c>
    </row>
    <row r="24" spans="1:9" x14ac:dyDescent="0.3">
      <c r="B24" s="2">
        <f>B22</f>
        <v>4</v>
      </c>
      <c r="C24" s="2">
        <f>C22</f>
        <v>10</v>
      </c>
      <c r="D24" s="2">
        <f>MAX(D19:I22)</f>
        <v>0.19</v>
      </c>
      <c r="E24" s="2">
        <f>AVERAGE(D19:I22)</f>
        <v>4.8258333333333341E-2</v>
      </c>
    </row>
    <row r="25" spans="1:9" x14ac:dyDescent="0.3">
      <c r="E25"/>
    </row>
    <row r="26" spans="1:9" x14ac:dyDescent="0.3">
      <c r="A26" t="s">
        <v>9</v>
      </c>
      <c r="B26" s="2">
        <v>6</v>
      </c>
      <c r="C26" s="2">
        <v>3</v>
      </c>
      <c r="D26" s="2">
        <v>3.5999999999999997E-2</v>
      </c>
      <c r="E26" s="2">
        <v>1.2999999999999999E-3</v>
      </c>
      <c r="F26" s="2">
        <v>8.0000000000000004E-4</v>
      </c>
      <c r="G26" s="2">
        <v>3.8399999999999997E-2</v>
      </c>
      <c r="H26" s="2">
        <v>0.66710000000000003</v>
      </c>
      <c r="I26" s="2">
        <v>3.9800000000000002E-2</v>
      </c>
    </row>
    <row r="27" spans="1:9" x14ac:dyDescent="0.3">
      <c r="A27" t="s">
        <v>71</v>
      </c>
      <c r="B27" s="2">
        <v>6</v>
      </c>
      <c r="C27" s="2">
        <v>3</v>
      </c>
      <c r="D27" s="2">
        <v>0.2752</v>
      </c>
      <c r="E27" s="2">
        <v>1.54E-2</v>
      </c>
      <c r="F27" s="1">
        <v>5.1200000000000002E-2</v>
      </c>
      <c r="G27" s="1">
        <v>0.71879999999999999</v>
      </c>
      <c r="H27" s="1">
        <v>2.86E-2</v>
      </c>
      <c r="I27" s="1">
        <v>2.6200000000000001E-2</v>
      </c>
    </row>
    <row r="28" spans="1:9" x14ac:dyDescent="0.3">
      <c r="A28" t="s">
        <v>70</v>
      </c>
      <c r="B28" s="2">
        <v>6</v>
      </c>
      <c r="C28" s="2">
        <v>3</v>
      </c>
      <c r="D28" s="2">
        <v>1</v>
      </c>
      <c r="F28" s="1"/>
      <c r="G28" s="1"/>
      <c r="I28" s="1"/>
    </row>
    <row r="29" spans="1:9" x14ac:dyDescent="0.3">
      <c r="A29" t="s">
        <v>69</v>
      </c>
      <c r="B29" s="2">
        <v>6</v>
      </c>
      <c r="C29" s="2">
        <v>3</v>
      </c>
      <c r="D29" s="2">
        <v>0.94779999999999998</v>
      </c>
      <c r="E29" s="2">
        <v>0.33950000000000002</v>
      </c>
    </row>
    <row r="30" spans="1:9" x14ac:dyDescent="0.3">
      <c r="A30"/>
      <c r="D30" s="2" t="s">
        <v>117</v>
      </c>
      <c r="E30" s="2" t="s">
        <v>118</v>
      </c>
    </row>
    <row r="31" spans="1:9" x14ac:dyDescent="0.3">
      <c r="A31"/>
      <c r="B31" s="2">
        <f>B29</f>
        <v>6</v>
      </c>
      <c r="C31" s="2">
        <f>C29</f>
        <v>3</v>
      </c>
      <c r="D31" s="2">
        <f>MAX(D26:I29)</f>
        <v>1</v>
      </c>
      <c r="E31" s="2">
        <f>AVERAGE(D26:I29)</f>
        <v>0.2790733333333334</v>
      </c>
    </row>
    <row r="32" spans="1:9" x14ac:dyDescent="0.3">
      <c r="A32"/>
    </row>
    <row r="33" spans="1:9" x14ac:dyDescent="0.3">
      <c r="A33" t="s">
        <v>11</v>
      </c>
      <c r="B33" s="2">
        <v>6</v>
      </c>
      <c r="C33" s="2">
        <v>6</v>
      </c>
      <c r="D33" s="2">
        <v>0.1065</v>
      </c>
      <c r="E33" s="2">
        <v>5.0500000000000003E-2</v>
      </c>
      <c r="F33" s="2">
        <v>0.19439999999999999</v>
      </c>
      <c r="G33" s="2">
        <v>5.45E-2</v>
      </c>
      <c r="H33" s="2">
        <v>0.13489999999999999</v>
      </c>
      <c r="I33" s="2">
        <v>2.06E-2</v>
      </c>
    </row>
    <row r="34" spans="1:9" x14ac:dyDescent="0.3">
      <c r="A34" t="s">
        <v>12</v>
      </c>
      <c r="B34" s="2">
        <v>6</v>
      </c>
      <c r="C34" s="2">
        <v>6</v>
      </c>
      <c r="D34" s="2">
        <v>1.15E-2</v>
      </c>
      <c r="E34" s="2">
        <v>1.9E-3</v>
      </c>
      <c r="F34" s="2">
        <v>1.2800000000000001E-2</v>
      </c>
      <c r="G34" s="2">
        <v>4.4999999999999997E-3</v>
      </c>
      <c r="H34" s="2">
        <v>2.7000000000000001E-3</v>
      </c>
      <c r="I34" s="2">
        <v>3.3E-3</v>
      </c>
    </row>
    <row r="35" spans="1:9" x14ac:dyDescent="0.3">
      <c r="A35" t="s">
        <v>15</v>
      </c>
      <c r="B35" s="2">
        <v>6</v>
      </c>
      <c r="C35" s="2">
        <v>6</v>
      </c>
      <c r="D35" s="2">
        <v>5.2900000000000003E-2</v>
      </c>
      <c r="E35" s="2">
        <v>1.6000000000000001E-3</v>
      </c>
      <c r="F35" s="2">
        <v>1.2999999999999999E-3</v>
      </c>
      <c r="G35" s="2">
        <v>1.35E-2</v>
      </c>
      <c r="H35" s="2">
        <v>0.2989</v>
      </c>
      <c r="I35" s="2">
        <v>1.6500000000000001E-2</v>
      </c>
    </row>
    <row r="36" spans="1:9" x14ac:dyDescent="0.3">
      <c r="A36" t="s">
        <v>73</v>
      </c>
      <c r="B36" s="2">
        <v>6</v>
      </c>
      <c r="C36" s="2">
        <v>6</v>
      </c>
      <c r="D36" s="2">
        <v>1.1900000000000001E-2</v>
      </c>
      <c r="E36" s="2">
        <v>4.3E-3</v>
      </c>
      <c r="F36" s="2">
        <v>1.2699999999999999E-2</v>
      </c>
      <c r="G36" s="2">
        <v>4.7000000000000002E-3</v>
      </c>
      <c r="H36" s="2">
        <v>3.8E-3</v>
      </c>
      <c r="I36" s="2">
        <v>7.7999999999999996E-3</v>
      </c>
    </row>
    <row r="37" spans="1:9" x14ac:dyDescent="0.3">
      <c r="A37" t="s">
        <v>72</v>
      </c>
      <c r="B37" s="2">
        <v>6</v>
      </c>
      <c r="C37" s="2">
        <v>6</v>
      </c>
      <c r="D37" s="2">
        <v>6.6E-3</v>
      </c>
      <c r="E37" s="2">
        <v>1.9900000000000001E-2</v>
      </c>
      <c r="F37" s="1">
        <v>5.0000000000000001E-4</v>
      </c>
      <c r="G37" s="2">
        <v>7.7000000000000002E-3</v>
      </c>
      <c r="H37" s="2">
        <v>4.1000000000000003E-3</v>
      </c>
      <c r="I37" s="1">
        <v>1.72E-2</v>
      </c>
    </row>
    <row r="38" spans="1:9" x14ac:dyDescent="0.3">
      <c r="A38"/>
      <c r="D38" s="2" t="s">
        <v>117</v>
      </c>
      <c r="E38" s="2" t="s">
        <v>118</v>
      </c>
      <c r="F38" s="1"/>
      <c r="I38" s="1"/>
    </row>
    <row r="39" spans="1:9" x14ac:dyDescent="0.3">
      <c r="A39"/>
      <c r="B39" s="2">
        <f>B37</f>
        <v>6</v>
      </c>
      <c r="C39" s="2">
        <f>C37</f>
        <v>6</v>
      </c>
      <c r="D39" s="2">
        <f>MAX(D33:I37)</f>
        <v>0.2989</v>
      </c>
      <c r="E39" s="2">
        <f>AVERAGE(D33:I37)</f>
        <v>3.6133333333333323E-2</v>
      </c>
      <c r="F39" s="1"/>
      <c r="I39" s="1"/>
    </row>
    <row r="40" spans="1:9" x14ac:dyDescent="0.3">
      <c r="A40"/>
      <c r="C40" s="1"/>
      <c r="F40" s="1"/>
      <c r="I40" s="1"/>
    </row>
    <row r="41" spans="1:9" x14ac:dyDescent="0.3">
      <c r="A41" t="s">
        <v>24</v>
      </c>
      <c r="B41" s="2">
        <v>6</v>
      </c>
      <c r="C41" s="1">
        <v>10</v>
      </c>
      <c r="D41" s="2">
        <v>5.3E-3</v>
      </c>
      <c r="E41" s="2">
        <v>2.5000000000000001E-3</v>
      </c>
      <c r="F41" s="2">
        <v>1E-4</v>
      </c>
      <c r="G41" s="2">
        <v>4.8899999999999999E-2</v>
      </c>
      <c r="H41" s="2">
        <v>7.4000000000000003E-3</v>
      </c>
      <c r="I41" s="1">
        <v>2.9999999999999997E-4</v>
      </c>
    </row>
    <row r="42" spans="1:9" x14ac:dyDescent="0.3">
      <c r="A42" t="s">
        <v>74</v>
      </c>
      <c r="B42" s="2">
        <v>6</v>
      </c>
      <c r="C42" s="1">
        <v>10</v>
      </c>
      <c r="D42" s="2">
        <v>6.7999999999999996E-3</v>
      </c>
      <c r="E42" s="2">
        <v>2.1100000000000001E-2</v>
      </c>
      <c r="F42" s="2">
        <v>1.61E-2</v>
      </c>
      <c r="G42" s="2">
        <v>2.3699999999999999E-2</v>
      </c>
      <c r="H42" s="2">
        <v>1.43E-2</v>
      </c>
      <c r="I42" s="1">
        <v>1.7899999999999999E-2</v>
      </c>
    </row>
    <row r="43" spans="1:9" x14ac:dyDescent="0.3">
      <c r="A43" t="s">
        <v>75</v>
      </c>
      <c r="B43" s="2">
        <v>6</v>
      </c>
      <c r="C43" s="1">
        <v>10</v>
      </c>
      <c r="D43" s="2">
        <v>1.9E-2</v>
      </c>
      <c r="E43" s="2">
        <v>2.4400000000000002E-2</v>
      </c>
      <c r="F43" s="2">
        <v>3.3700000000000001E-2</v>
      </c>
      <c r="G43" s="2">
        <v>2.4400000000000002E-2</v>
      </c>
      <c r="H43" s="2">
        <v>3.7000000000000002E-3</v>
      </c>
      <c r="I43" s="1">
        <v>8.0000000000000004E-4</v>
      </c>
    </row>
    <row r="44" spans="1:9" x14ac:dyDescent="0.3">
      <c r="A44" t="s">
        <v>76</v>
      </c>
      <c r="B44" s="2">
        <v>6</v>
      </c>
      <c r="C44" s="1">
        <v>10</v>
      </c>
      <c r="D44" s="2">
        <v>0.98360000000000003</v>
      </c>
      <c r="E44" s="2">
        <v>1.6999999999999999E-3</v>
      </c>
      <c r="I44" s="1"/>
    </row>
    <row r="45" spans="1:9" x14ac:dyDescent="0.3">
      <c r="A45"/>
      <c r="D45" s="2" t="s">
        <v>117</v>
      </c>
      <c r="E45" s="2" t="s">
        <v>118</v>
      </c>
      <c r="I45" s="1"/>
    </row>
    <row r="46" spans="1:9" x14ac:dyDescent="0.3">
      <c r="A46"/>
      <c r="B46" s="2">
        <f>B44</f>
        <v>6</v>
      </c>
      <c r="C46" s="2">
        <f>C44</f>
        <v>10</v>
      </c>
      <c r="D46" s="2">
        <f>MAX(D41:I44)</f>
        <v>0.98360000000000003</v>
      </c>
      <c r="E46" s="2">
        <f>AVERAGE(D41:I44)</f>
        <v>6.2785000000000007E-2</v>
      </c>
      <c r="I46" s="1"/>
    </row>
    <row r="47" spans="1:9" x14ac:dyDescent="0.3">
      <c r="A47"/>
      <c r="C47" s="1"/>
      <c r="I47" s="1"/>
    </row>
    <row r="48" spans="1:9" x14ac:dyDescent="0.3">
      <c r="A48" t="s">
        <v>27</v>
      </c>
      <c r="B48" s="2">
        <v>6</v>
      </c>
      <c r="C48" s="1">
        <v>14</v>
      </c>
      <c r="D48" s="2">
        <v>4.2000000000000003E-2</v>
      </c>
      <c r="E48" s="2">
        <v>7.9100000000000004E-2</v>
      </c>
      <c r="F48" s="2">
        <v>2.9999999999999997E-4</v>
      </c>
      <c r="G48" s="2">
        <v>6.9999999999999999E-4</v>
      </c>
      <c r="H48" s="2">
        <v>1.35E-2</v>
      </c>
      <c r="I48" s="1">
        <v>1.6899999999999998E-2</v>
      </c>
    </row>
    <row r="49" spans="1:9" x14ac:dyDescent="0.3">
      <c r="A49" t="s">
        <v>77</v>
      </c>
      <c r="B49" s="2">
        <v>6</v>
      </c>
      <c r="C49" s="1">
        <v>14</v>
      </c>
      <c r="D49" s="2">
        <v>2.0000000000000001E-4</v>
      </c>
      <c r="E49" s="2">
        <v>3.7999999999999999E-2</v>
      </c>
      <c r="F49" s="2">
        <v>2.3099999999999999E-2</v>
      </c>
      <c r="G49" s="2">
        <v>1.6E-2</v>
      </c>
      <c r="H49" s="2">
        <v>9.4000000000000004E-3</v>
      </c>
      <c r="I49" s="1">
        <v>8.2000000000000007E-3</v>
      </c>
    </row>
    <row r="50" spans="1:9" x14ac:dyDescent="0.3">
      <c r="A50" t="s">
        <v>78</v>
      </c>
      <c r="B50" s="2">
        <v>6</v>
      </c>
      <c r="C50" s="1">
        <v>14</v>
      </c>
      <c r="D50" s="2">
        <v>3.2399999999999998E-2</v>
      </c>
      <c r="E50" s="2">
        <v>3.2099999999999997E-2</v>
      </c>
      <c r="F50" s="2">
        <v>2.2000000000000001E-3</v>
      </c>
      <c r="G50" s="2">
        <v>2.8999999999999998E-3</v>
      </c>
      <c r="H50" s="2">
        <v>1.11E-2</v>
      </c>
      <c r="I50" s="1">
        <v>2.98E-2</v>
      </c>
    </row>
    <row r="51" spans="1:9" x14ac:dyDescent="0.3">
      <c r="A51" t="s">
        <v>79</v>
      </c>
      <c r="B51" s="2">
        <v>6</v>
      </c>
      <c r="C51" s="1">
        <v>14</v>
      </c>
      <c r="D51" s="2">
        <v>1.5100000000000001E-2</v>
      </c>
      <c r="E51" s="2">
        <v>2.9999999999999997E-4</v>
      </c>
      <c r="F51" s="2">
        <v>2.3E-3</v>
      </c>
      <c r="G51" s="2">
        <v>1.04E-2</v>
      </c>
      <c r="H51" s="2">
        <v>2.0999999999999999E-3</v>
      </c>
      <c r="I51" s="1">
        <v>2.46E-2</v>
      </c>
    </row>
    <row r="52" spans="1:9" x14ac:dyDescent="0.3">
      <c r="A52"/>
      <c r="D52" s="2" t="s">
        <v>117</v>
      </c>
      <c r="E52" s="2" t="s">
        <v>118</v>
      </c>
      <c r="I52" s="1"/>
    </row>
    <row r="53" spans="1:9" x14ac:dyDescent="0.3">
      <c r="A53"/>
      <c r="B53" s="2">
        <f>B51</f>
        <v>6</v>
      </c>
      <c r="C53" s="2">
        <f>C51</f>
        <v>14</v>
      </c>
      <c r="D53" s="2">
        <f>MAX(D48:I51)</f>
        <v>7.9100000000000004E-2</v>
      </c>
      <c r="E53" s="2">
        <f>AVERAGE(D48:I51)</f>
        <v>1.7195833333333337E-2</v>
      </c>
      <c r="I53" s="1"/>
    </row>
    <row r="54" spans="1:9" x14ac:dyDescent="0.3">
      <c r="A54"/>
      <c r="C54" s="1"/>
      <c r="I54" s="1"/>
    </row>
    <row r="55" spans="1:9" x14ac:dyDescent="0.3">
      <c r="A55" t="s">
        <v>53</v>
      </c>
      <c r="B55" s="2">
        <v>6</v>
      </c>
      <c r="C55" s="1">
        <v>16</v>
      </c>
      <c r="D55" s="2">
        <v>1.72E-2</v>
      </c>
      <c r="E55" s="2">
        <v>2.01E-2</v>
      </c>
      <c r="F55" s="2">
        <v>1.7999999999999999E-2</v>
      </c>
      <c r="G55" s="2">
        <v>2.93E-2</v>
      </c>
      <c r="H55" s="2">
        <v>4.9700000000000001E-2</v>
      </c>
      <c r="I55" s="1">
        <v>7.9200000000000007E-2</v>
      </c>
    </row>
    <row r="56" spans="1:9" x14ac:dyDescent="0.3">
      <c r="A56" t="s">
        <v>80</v>
      </c>
      <c r="B56" s="2">
        <v>6</v>
      </c>
      <c r="C56" s="1">
        <v>16</v>
      </c>
      <c r="D56" s="2">
        <v>1.11E-2</v>
      </c>
      <c r="E56" s="2">
        <v>2.5999999999999999E-3</v>
      </c>
      <c r="F56" s="2">
        <v>2.46E-2</v>
      </c>
      <c r="G56" s="2">
        <v>2.8400000000000002E-2</v>
      </c>
      <c r="H56" s="2">
        <v>5.0000000000000001E-4</v>
      </c>
      <c r="I56" s="1">
        <v>1.35E-2</v>
      </c>
    </row>
    <row r="57" spans="1:9" x14ac:dyDescent="0.3">
      <c r="A57" t="s">
        <v>81</v>
      </c>
      <c r="B57" s="2">
        <v>6</v>
      </c>
      <c r="C57" s="1">
        <v>16</v>
      </c>
      <c r="D57" s="2">
        <v>3.4099999999999998E-2</v>
      </c>
      <c r="E57" s="2">
        <v>2.3599999999999999E-2</v>
      </c>
      <c r="F57" s="2">
        <v>0.02</v>
      </c>
      <c r="G57" s="2">
        <v>1.6999999999999999E-3</v>
      </c>
      <c r="H57" s="2">
        <v>1.0200000000000001E-2</v>
      </c>
      <c r="I57" s="1">
        <v>3.2000000000000002E-3</v>
      </c>
    </row>
    <row r="58" spans="1:9" x14ac:dyDescent="0.3">
      <c r="A58" t="s">
        <v>82</v>
      </c>
      <c r="B58" s="2">
        <v>6</v>
      </c>
      <c r="C58" s="1">
        <v>16</v>
      </c>
      <c r="D58" s="2">
        <v>1.7899999999999999E-2</v>
      </c>
      <c r="E58" s="2">
        <v>3.5299999999999998E-2</v>
      </c>
      <c r="F58" s="2">
        <v>2.8899999999999999E-2</v>
      </c>
      <c r="G58" s="2">
        <v>1.7600000000000001E-2</v>
      </c>
      <c r="H58" s="2">
        <v>4.1000000000000003E-3</v>
      </c>
      <c r="I58" s="1">
        <v>2.4799999999999999E-2</v>
      </c>
    </row>
    <row r="59" spans="1:9" x14ac:dyDescent="0.3">
      <c r="A59"/>
      <c r="D59" s="2" t="s">
        <v>117</v>
      </c>
      <c r="E59" s="2" t="s">
        <v>118</v>
      </c>
      <c r="F59" s="1"/>
    </row>
    <row r="60" spans="1:9" x14ac:dyDescent="0.3">
      <c r="A60"/>
      <c r="B60" s="2">
        <f>B58</f>
        <v>6</v>
      </c>
      <c r="C60" s="2">
        <f>C58</f>
        <v>16</v>
      </c>
      <c r="D60" s="2">
        <f>MAX(D55:I58)</f>
        <v>7.9200000000000007E-2</v>
      </c>
      <c r="E60" s="2">
        <f>AVERAGE(D55:I58)</f>
        <v>2.1483333333333337E-2</v>
      </c>
      <c r="F60" s="1"/>
    </row>
    <row r="61" spans="1:9" x14ac:dyDescent="0.3">
      <c r="A61"/>
    </row>
    <row r="62" spans="1:9" x14ac:dyDescent="0.3">
      <c r="A62" t="s">
        <v>45</v>
      </c>
      <c r="B62" s="2">
        <v>8</v>
      </c>
      <c r="C62" s="2">
        <v>2</v>
      </c>
      <c r="D62" s="2">
        <v>0.99990000000000001</v>
      </c>
    </row>
    <row r="63" spans="1:9" x14ac:dyDescent="0.3">
      <c r="A63" s="1" t="s">
        <v>44</v>
      </c>
      <c r="B63" s="2">
        <v>8</v>
      </c>
      <c r="C63" s="2">
        <v>2</v>
      </c>
      <c r="D63" s="2">
        <v>0.99990000000000001</v>
      </c>
      <c r="E63" s="2">
        <v>0.24990000000000001</v>
      </c>
      <c r="F63" s="2">
        <v>7.7999999999999996E-3</v>
      </c>
      <c r="G63" s="2">
        <v>0</v>
      </c>
      <c r="H63" s="2">
        <v>0</v>
      </c>
    </row>
    <row r="64" spans="1:9" x14ac:dyDescent="0.3">
      <c r="A64" s="1" t="s">
        <v>93</v>
      </c>
      <c r="B64" s="2">
        <v>8</v>
      </c>
      <c r="C64" s="2">
        <v>2</v>
      </c>
      <c r="D64" s="2">
        <v>1</v>
      </c>
      <c r="E64" s="2">
        <v>0.39290000000000003</v>
      </c>
      <c r="F64" s="2">
        <v>0.36509999999999998</v>
      </c>
    </row>
    <row r="65" spans="1:9" x14ac:dyDescent="0.3">
      <c r="A65" s="1" t="s">
        <v>94</v>
      </c>
      <c r="B65" s="2">
        <v>8</v>
      </c>
      <c r="C65" s="2">
        <v>2</v>
      </c>
      <c r="D65" s="2">
        <v>1</v>
      </c>
    </row>
    <row r="66" spans="1:9" x14ac:dyDescent="0.3">
      <c r="A66" s="1" t="s">
        <v>95</v>
      </c>
      <c r="B66" s="2">
        <v>8</v>
      </c>
      <c r="C66" s="2">
        <v>2</v>
      </c>
      <c r="D66" s="2">
        <v>0.99819999999999998</v>
      </c>
      <c r="E66" s="2">
        <v>0.2777</v>
      </c>
    </row>
    <row r="67" spans="1:9" x14ac:dyDescent="0.3">
      <c r="D67" s="2" t="s">
        <v>117</v>
      </c>
      <c r="E67" s="2" t="s">
        <v>118</v>
      </c>
    </row>
    <row r="68" spans="1:9" x14ac:dyDescent="0.3">
      <c r="B68" s="2">
        <f>B66</f>
        <v>8</v>
      </c>
      <c r="C68" s="2">
        <f>C66</f>
        <v>2</v>
      </c>
      <c r="D68" s="2">
        <f>MAX(D62:I66)</f>
        <v>1</v>
      </c>
      <c r="E68" s="2">
        <f>AVERAGE(D62:I66)</f>
        <v>0.52428333333333332</v>
      </c>
    </row>
    <row r="70" spans="1:9" x14ac:dyDescent="0.3">
      <c r="A70" s="1" t="s">
        <v>16</v>
      </c>
      <c r="B70" s="2">
        <v>8</v>
      </c>
      <c r="C70" s="2">
        <v>4</v>
      </c>
      <c r="D70" s="2">
        <v>0.98140000000000005</v>
      </c>
      <c r="E70" s="2">
        <v>1.38E-2</v>
      </c>
      <c r="F70" s="2">
        <v>0.87970000000000004</v>
      </c>
    </row>
    <row r="71" spans="1:9" x14ac:dyDescent="0.3">
      <c r="A71" s="1" t="s">
        <v>89</v>
      </c>
      <c r="B71" s="2">
        <v>8</v>
      </c>
      <c r="C71" s="2">
        <v>4</v>
      </c>
      <c r="D71" s="2">
        <v>1.2E-2</v>
      </c>
      <c r="E71" s="2">
        <v>2.0999999999999999E-3</v>
      </c>
      <c r="F71" s="2">
        <v>3.2800000000000003E-2</v>
      </c>
      <c r="G71" s="2">
        <v>0.72529999999999994</v>
      </c>
      <c r="H71" s="2">
        <v>0.02</v>
      </c>
      <c r="I71" s="2">
        <v>1.7600000000000001E-2</v>
      </c>
    </row>
    <row r="72" spans="1:9" x14ac:dyDescent="0.3">
      <c r="A72" s="1" t="s">
        <v>90</v>
      </c>
      <c r="B72" s="2">
        <v>8</v>
      </c>
      <c r="C72" s="2">
        <v>4</v>
      </c>
      <c r="D72" s="2">
        <v>1.2999999999999999E-3</v>
      </c>
      <c r="E72" s="2">
        <v>2.9700000000000001E-2</v>
      </c>
      <c r="F72" s="2">
        <v>1.41E-2</v>
      </c>
      <c r="G72" s="2">
        <v>8.6999999999999994E-3</v>
      </c>
    </row>
    <row r="73" spans="1:9" x14ac:dyDescent="0.3">
      <c r="A73" s="1" t="s">
        <v>91</v>
      </c>
      <c r="B73" s="2">
        <v>8</v>
      </c>
      <c r="C73" s="2">
        <v>4</v>
      </c>
      <c r="D73" s="2">
        <v>0.99690000000000001</v>
      </c>
      <c r="E73" s="2">
        <v>0.78210000000000002</v>
      </c>
    </row>
    <row r="74" spans="1:9" x14ac:dyDescent="0.3">
      <c r="A74" s="1" t="s">
        <v>92</v>
      </c>
      <c r="B74" s="2">
        <v>8</v>
      </c>
      <c r="C74" s="2">
        <v>4</v>
      </c>
      <c r="D74" s="2">
        <v>4.4999999999999998E-2</v>
      </c>
      <c r="E74" s="2">
        <v>4.7000000000000002E-3</v>
      </c>
      <c r="F74" s="2">
        <v>8.6199999999999999E-2</v>
      </c>
      <c r="G74" s="2">
        <v>0</v>
      </c>
      <c r="H74" s="2">
        <v>0.3639</v>
      </c>
      <c r="I74" s="2">
        <v>2.5499999999999998E-2</v>
      </c>
    </row>
    <row r="75" spans="1:9" x14ac:dyDescent="0.3">
      <c r="D75" s="2" t="s">
        <v>117</v>
      </c>
      <c r="E75" s="2" t="s">
        <v>118</v>
      </c>
    </row>
    <row r="76" spans="1:9" x14ac:dyDescent="0.3">
      <c r="B76" s="2">
        <f>B74</f>
        <v>8</v>
      </c>
      <c r="C76" s="2">
        <f>C74</f>
        <v>4</v>
      </c>
      <c r="D76" s="2">
        <f>MAX(D70:I74)</f>
        <v>0.99690000000000001</v>
      </c>
      <c r="E76" s="2">
        <f>AVERAGE(D70:I74)</f>
        <v>0.24013333333333331</v>
      </c>
    </row>
    <row r="78" spans="1:9" x14ac:dyDescent="0.3">
      <c r="A78" s="1" t="s">
        <v>43</v>
      </c>
      <c r="B78" s="2">
        <v>8</v>
      </c>
      <c r="C78" s="2">
        <v>6</v>
      </c>
      <c r="D78" s="2">
        <v>8.9999999999999998E-4</v>
      </c>
      <c r="E78" s="2">
        <v>4.1999999999999997E-3</v>
      </c>
      <c r="F78" s="2">
        <v>9.1999999999999998E-2</v>
      </c>
      <c r="G78" s="2">
        <v>1.7000000000000001E-2</v>
      </c>
      <c r="H78" s="2">
        <v>3.0999999999999999E-3</v>
      </c>
      <c r="I78" s="2">
        <v>0.1772</v>
      </c>
    </row>
    <row r="79" spans="1:9" x14ac:dyDescent="0.3">
      <c r="A79" s="1" t="s">
        <v>86</v>
      </c>
      <c r="B79" s="2">
        <v>8</v>
      </c>
      <c r="C79" s="2">
        <v>6</v>
      </c>
      <c r="D79" s="2">
        <v>4.1000000000000003E-3</v>
      </c>
      <c r="E79" s="2">
        <v>2.9999999999999997E-4</v>
      </c>
      <c r="F79" s="2">
        <v>2.0000000000000001E-4</v>
      </c>
      <c r="G79" s="2">
        <v>2.8E-3</v>
      </c>
      <c r="H79" s="2">
        <v>8.0000000000000004E-4</v>
      </c>
      <c r="I79" s="2">
        <v>1.4E-2</v>
      </c>
    </row>
    <row r="80" spans="1:9" x14ac:dyDescent="0.3">
      <c r="A80" s="1" t="s">
        <v>87</v>
      </c>
      <c r="B80" s="2">
        <v>8</v>
      </c>
      <c r="C80" s="2">
        <v>6</v>
      </c>
      <c r="D80" s="2">
        <v>1E-4</v>
      </c>
      <c r="E80" s="2">
        <v>9.8799999999999999E-2</v>
      </c>
      <c r="F80" s="2">
        <v>4.6600000000000003E-2</v>
      </c>
      <c r="G80" s="2">
        <v>1.21E-2</v>
      </c>
      <c r="H80" s="2">
        <v>0</v>
      </c>
      <c r="I80" s="2">
        <v>0</v>
      </c>
    </row>
    <row r="81" spans="1:9" x14ac:dyDescent="0.3">
      <c r="A81" s="1" t="s">
        <v>88</v>
      </c>
      <c r="B81" s="2">
        <v>8</v>
      </c>
      <c r="C81" s="2">
        <v>6</v>
      </c>
      <c r="D81" s="2">
        <v>5.1000000000000004E-3</v>
      </c>
      <c r="E81" s="2">
        <v>6.9999999999999999E-4</v>
      </c>
      <c r="F81" s="2">
        <v>2.9999999999999997E-4</v>
      </c>
      <c r="G81" s="2">
        <v>1.0999999999999999E-2</v>
      </c>
      <c r="H81" s="2">
        <v>3.2599999999999997E-2</v>
      </c>
      <c r="I81" s="2">
        <v>5.0000000000000001E-4</v>
      </c>
    </row>
    <row r="82" spans="1:9" x14ac:dyDescent="0.3">
      <c r="D82" s="2" t="s">
        <v>117</v>
      </c>
      <c r="E82" s="2" t="s">
        <v>118</v>
      </c>
    </row>
    <row r="83" spans="1:9" x14ac:dyDescent="0.3">
      <c r="B83" s="2">
        <f>B81</f>
        <v>8</v>
      </c>
      <c r="C83" s="2">
        <f>C81</f>
        <v>6</v>
      </c>
      <c r="D83" s="2">
        <f>MAX(D78:I81)</f>
        <v>0.1772</v>
      </c>
      <c r="E83" s="2">
        <f>AVERAGE(D78:I81)</f>
        <v>2.1849999999999998E-2</v>
      </c>
    </row>
    <row r="85" spans="1:9" x14ac:dyDescent="0.3">
      <c r="A85" s="1" t="s">
        <v>41</v>
      </c>
      <c r="B85" s="2">
        <v>8</v>
      </c>
      <c r="C85" s="2">
        <v>8</v>
      </c>
      <c r="D85" s="2">
        <v>5.9999999999999995E-4</v>
      </c>
      <c r="E85" s="2">
        <v>5.0000000000000001E-3</v>
      </c>
      <c r="F85" s="2">
        <v>1.4E-3</v>
      </c>
      <c r="G85" s="2">
        <v>1.8E-3</v>
      </c>
      <c r="H85" s="2">
        <v>1.6999999999999999E-3</v>
      </c>
      <c r="I85" s="2">
        <v>8.0000000000000002E-3</v>
      </c>
    </row>
    <row r="86" spans="1:9" x14ac:dyDescent="0.3">
      <c r="A86" s="1" t="s">
        <v>40</v>
      </c>
      <c r="B86" s="2">
        <v>8</v>
      </c>
      <c r="C86" s="2">
        <v>8</v>
      </c>
      <c r="D86" s="2">
        <v>6.8999999999999999E-3</v>
      </c>
      <c r="E86" s="2">
        <v>0.31080000000000002</v>
      </c>
      <c r="F86" s="2">
        <v>8.9999999999999998E-4</v>
      </c>
      <c r="G86" s="2">
        <v>0</v>
      </c>
      <c r="H86" s="2">
        <v>1E-4</v>
      </c>
      <c r="I86" s="2">
        <v>1.9E-3</v>
      </c>
    </row>
    <row r="87" spans="1:9" x14ac:dyDescent="0.3">
      <c r="A87" s="1" t="s">
        <v>83</v>
      </c>
      <c r="B87" s="2">
        <v>8</v>
      </c>
      <c r="C87" s="2">
        <v>8</v>
      </c>
      <c r="D87" s="2">
        <v>4.7999999999999996E-3</v>
      </c>
      <c r="E87" s="2">
        <v>6.7999999999999996E-3</v>
      </c>
      <c r="F87" s="2">
        <v>1.8599999999999998E-2</v>
      </c>
      <c r="G87" s="2">
        <v>2.5000000000000001E-3</v>
      </c>
      <c r="H87" s="2">
        <v>4.7000000000000002E-3</v>
      </c>
      <c r="I87" s="2">
        <v>9.4000000000000004E-3</v>
      </c>
    </row>
    <row r="88" spans="1:9" x14ac:dyDescent="0.3">
      <c r="A88" s="1" t="s">
        <v>84</v>
      </c>
      <c r="B88" s="2">
        <v>8</v>
      </c>
      <c r="C88" s="2">
        <v>8</v>
      </c>
      <c r="D88" s="2">
        <v>2.3E-3</v>
      </c>
      <c r="E88" s="2">
        <v>0</v>
      </c>
      <c r="F88" s="2">
        <v>0</v>
      </c>
      <c r="G88" s="2">
        <v>1.1000000000000001E-3</v>
      </c>
      <c r="H88" s="2">
        <v>5.3699999999999998E-2</v>
      </c>
      <c r="I88" s="2">
        <v>2E-3</v>
      </c>
    </row>
    <row r="89" spans="1:9" x14ac:dyDescent="0.3">
      <c r="A89" s="1" t="s">
        <v>85</v>
      </c>
      <c r="B89" s="2">
        <v>8</v>
      </c>
      <c r="C89" s="2">
        <v>8</v>
      </c>
      <c r="D89" s="2">
        <v>0</v>
      </c>
      <c r="E89" s="2">
        <v>9.4999999999999998E-3</v>
      </c>
      <c r="F89" s="2">
        <v>1E-3</v>
      </c>
      <c r="G89" s="2">
        <v>1.1000000000000001E-3</v>
      </c>
      <c r="H89" s="2">
        <v>1.6999999999999999E-3</v>
      </c>
      <c r="I89" s="2">
        <v>2.0000000000000001E-4</v>
      </c>
    </row>
    <row r="90" spans="1:9" x14ac:dyDescent="0.3">
      <c r="D90" s="2" t="s">
        <v>117</v>
      </c>
      <c r="E90" s="2" t="s">
        <v>118</v>
      </c>
    </row>
    <row r="91" spans="1:9" x14ac:dyDescent="0.3">
      <c r="B91" s="2">
        <f>B89</f>
        <v>8</v>
      </c>
      <c r="C91" s="2">
        <f>C89</f>
        <v>8</v>
      </c>
      <c r="D91" s="2">
        <f>MAX(D85:I89)</f>
        <v>0.31080000000000002</v>
      </c>
      <c r="E91" s="2">
        <f>AVERAGE(D85:I89)</f>
        <v>1.5283333333333335E-2</v>
      </c>
    </row>
    <row r="93" spans="1:9" x14ac:dyDescent="0.3">
      <c r="A93" s="1" t="s">
        <v>39</v>
      </c>
      <c r="B93" s="2">
        <v>8</v>
      </c>
      <c r="C93" s="2">
        <v>10</v>
      </c>
      <c r="D93" s="2">
        <v>6.4999999999999997E-3</v>
      </c>
      <c r="E93" s="2">
        <v>1.1900000000000001E-2</v>
      </c>
      <c r="F93" s="2">
        <v>1.2E-2</v>
      </c>
      <c r="G93" s="2">
        <v>2E-3</v>
      </c>
      <c r="H93" s="2">
        <v>3.5000000000000001E-3</v>
      </c>
      <c r="I93" s="2">
        <v>5.9999999999999995E-4</v>
      </c>
    </row>
    <row r="94" spans="1:9" x14ac:dyDescent="0.3">
      <c r="A94" s="1" t="s">
        <v>96</v>
      </c>
      <c r="B94" s="2">
        <v>8</v>
      </c>
      <c r="C94" s="2">
        <v>10</v>
      </c>
      <c r="D94" s="2">
        <v>2.8999999999999998E-3</v>
      </c>
      <c r="E94" s="2">
        <v>2.5000000000000001E-3</v>
      </c>
      <c r="F94" s="2">
        <v>1.5E-3</v>
      </c>
      <c r="G94" s="2">
        <v>8.9999999999999993E-3</v>
      </c>
      <c r="H94" s="2">
        <v>1.4E-3</v>
      </c>
      <c r="I94" s="2">
        <v>2.8E-3</v>
      </c>
    </row>
    <row r="95" spans="1:9" x14ac:dyDescent="0.3">
      <c r="A95" s="1" t="s">
        <v>109</v>
      </c>
      <c r="B95" s="2">
        <v>8</v>
      </c>
      <c r="C95" s="2">
        <v>10</v>
      </c>
      <c r="D95" s="2">
        <v>2.0999999999999999E-3</v>
      </c>
      <c r="E95" s="2">
        <v>1.5E-3</v>
      </c>
      <c r="F95" s="2">
        <v>1.1000000000000001E-3</v>
      </c>
      <c r="G95" s="2">
        <v>2E-3</v>
      </c>
      <c r="H95" s="2">
        <v>1.6000000000000001E-3</v>
      </c>
      <c r="I95" s="2">
        <v>6.1000000000000004E-3</v>
      </c>
    </row>
    <row r="96" spans="1:9" x14ac:dyDescent="0.3">
      <c r="A96" s="1" t="s">
        <v>110</v>
      </c>
      <c r="B96" s="2">
        <v>8</v>
      </c>
      <c r="C96" s="2">
        <v>10</v>
      </c>
      <c r="D96" s="2">
        <v>1.0999999999999999E-2</v>
      </c>
      <c r="E96" s="2">
        <v>1.0800000000000001E-2</v>
      </c>
      <c r="F96" s="2">
        <v>3.0200000000000001E-2</v>
      </c>
      <c r="G96" s="2">
        <v>4.4699999999999997E-2</v>
      </c>
      <c r="H96" s="2">
        <v>3.3700000000000001E-2</v>
      </c>
      <c r="I96" s="2">
        <v>3.0000000000000001E-3</v>
      </c>
    </row>
    <row r="97" spans="1:9" x14ac:dyDescent="0.3">
      <c r="D97" s="2" t="s">
        <v>117</v>
      </c>
      <c r="E97" s="2" t="s">
        <v>118</v>
      </c>
    </row>
    <row r="98" spans="1:9" x14ac:dyDescent="0.3">
      <c r="B98" s="2">
        <f>B96</f>
        <v>8</v>
      </c>
      <c r="C98" s="2">
        <f>C96</f>
        <v>10</v>
      </c>
      <c r="D98" s="2">
        <f>MAX(D93:I96)</f>
        <v>4.4699999999999997E-2</v>
      </c>
      <c r="E98" s="2">
        <f>AVERAGE(D93:I96)</f>
        <v>8.5166666666666672E-3</v>
      </c>
    </row>
    <row r="100" spans="1:9" x14ac:dyDescent="0.3">
      <c r="A100" s="1" t="s">
        <v>37</v>
      </c>
      <c r="B100" s="2">
        <v>8</v>
      </c>
      <c r="C100" s="2">
        <v>12</v>
      </c>
      <c r="D100" s="2">
        <v>0</v>
      </c>
      <c r="E100" s="2">
        <v>2.9999999999999997E-4</v>
      </c>
      <c r="F100" s="2">
        <v>8.0000000000000004E-4</v>
      </c>
      <c r="G100" s="2">
        <v>1.8E-3</v>
      </c>
      <c r="H100" s="2">
        <v>1.4E-3</v>
      </c>
      <c r="I100" s="2">
        <v>1.77E-2</v>
      </c>
    </row>
    <row r="101" spans="1:9" x14ac:dyDescent="0.3">
      <c r="A101" s="1" t="s">
        <v>36</v>
      </c>
      <c r="B101" s="2">
        <v>8</v>
      </c>
      <c r="C101" s="2">
        <v>12</v>
      </c>
      <c r="D101" s="2">
        <v>7.1999999999999998E-3</v>
      </c>
      <c r="E101" s="2">
        <v>1E-3</v>
      </c>
      <c r="F101" s="2">
        <v>7.1000000000000004E-3</v>
      </c>
      <c r="G101" s="2">
        <v>1.6000000000000001E-3</v>
      </c>
      <c r="H101" s="2">
        <v>8.0000000000000004E-4</v>
      </c>
      <c r="I101" s="2">
        <v>2.7000000000000001E-3</v>
      </c>
    </row>
    <row r="102" spans="1:9" x14ac:dyDescent="0.3">
      <c r="A102" s="1" t="s">
        <v>111</v>
      </c>
      <c r="B102" s="2">
        <v>8</v>
      </c>
      <c r="C102" s="2">
        <v>12</v>
      </c>
      <c r="D102" s="2">
        <v>1.5E-3</v>
      </c>
      <c r="E102" s="2">
        <v>1E-4</v>
      </c>
      <c r="F102" s="2">
        <v>3.0999999999999999E-3</v>
      </c>
      <c r="G102" s="2">
        <v>4.1999999999999997E-3</v>
      </c>
      <c r="H102" s="2">
        <v>5.1999999999999998E-3</v>
      </c>
      <c r="I102" s="2">
        <v>7.1000000000000004E-3</v>
      </c>
    </row>
    <row r="103" spans="1:9" x14ac:dyDescent="0.3">
      <c r="A103" s="1" t="s">
        <v>112</v>
      </c>
      <c r="B103" s="2">
        <v>8</v>
      </c>
      <c r="C103" s="2">
        <v>12</v>
      </c>
      <c r="D103" s="2">
        <v>1.4500000000000001E-2</v>
      </c>
      <c r="E103" s="2">
        <v>1.8200000000000001E-2</v>
      </c>
      <c r="F103" s="2">
        <v>1.44E-2</v>
      </c>
      <c r="G103" s="2">
        <v>1.6400000000000001E-2</v>
      </c>
      <c r="H103" s="2">
        <v>1.2999999999999999E-3</v>
      </c>
      <c r="I103" s="2">
        <v>5.5999999999999999E-3</v>
      </c>
    </row>
    <row r="104" spans="1:9" x14ac:dyDescent="0.3">
      <c r="A104" s="1" t="s">
        <v>113</v>
      </c>
      <c r="B104" s="2">
        <v>8</v>
      </c>
      <c r="C104" s="2">
        <v>12</v>
      </c>
      <c r="D104" s="2">
        <v>1.6400000000000001E-2</v>
      </c>
      <c r="E104" s="2">
        <v>4.7000000000000002E-3</v>
      </c>
      <c r="F104" s="2">
        <v>0</v>
      </c>
      <c r="G104" s="2">
        <v>1.5E-3</v>
      </c>
      <c r="H104" s="2">
        <v>2.9999999999999997E-4</v>
      </c>
      <c r="I104" s="2">
        <v>2.3999999999999998E-3</v>
      </c>
    </row>
    <row r="105" spans="1:9" x14ac:dyDescent="0.3">
      <c r="D105" s="2" t="s">
        <v>117</v>
      </c>
      <c r="E105" s="2" t="s">
        <v>118</v>
      </c>
    </row>
    <row r="106" spans="1:9" x14ac:dyDescent="0.3">
      <c r="B106" s="2">
        <f>B104</f>
        <v>8</v>
      </c>
      <c r="C106" s="2">
        <f>C104</f>
        <v>12</v>
      </c>
      <c r="D106" s="2">
        <f>MAX(D100:I104)</f>
        <v>1.8200000000000001E-2</v>
      </c>
      <c r="E106" s="2">
        <f>AVERAGE(D100:I104)</f>
        <v>5.3099999999999996E-3</v>
      </c>
    </row>
    <row r="108" spans="1:9" x14ac:dyDescent="0.3">
      <c r="A108" s="1" t="s">
        <v>35</v>
      </c>
      <c r="B108" s="2">
        <v>8</v>
      </c>
      <c r="C108" s="2">
        <v>14</v>
      </c>
      <c r="D108" s="2">
        <v>3.3E-3</v>
      </c>
      <c r="E108" s="2">
        <v>2.2000000000000001E-3</v>
      </c>
      <c r="F108" s="2">
        <v>4.4999999999999997E-3</v>
      </c>
      <c r="G108" s="2">
        <v>5.0000000000000001E-3</v>
      </c>
      <c r="H108" s="2">
        <v>6.7999999999999996E-3</v>
      </c>
    </row>
    <row r="109" spans="1:9" x14ac:dyDescent="0.3">
      <c r="A109" s="1" t="s">
        <v>28</v>
      </c>
      <c r="B109" s="2">
        <v>8</v>
      </c>
      <c r="C109" s="2">
        <v>14</v>
      </c>
      <c r="D109" s="2">
        <v>1.6999999999999999E-3</v>
      </c>
      <c r="E109" s="2">
        <v>8.0000000000000004E-4</v>
      </c>
      <c r="F109" s="2">
        <v>8.0000000000000004E-4</v>
      </c>
      <c r="G109" s="2">
        <v>1.6000000000000001E-3</v>
      </c>
      <c r="H109" s="2">
        <v>4.8999999999999998E-3</v>
      </c>
    </row>
    <row r="110" spans="1:9" x14ac:dyDescent="0.3">
      <c r="A110" t="s">
        <v>114</v>
      </c>
      <c r="B110" s="2">
        <v>8</v>
      </c>
      <c r="C110" s="1">
        <v>14</v>
      </c>
      <c r="D110" s="2">
        <v>1.6999999999999999E-3</v>
      </c>
      <c r="E110" s="3">
        <v>2.0999999999999999E-3</v>
      </c>
      <c r="F110" s="2">
        <v>1.1299999999999999E-2</v>
      </c>
      <c r="G110"/>
      <c r="I110" s="1"/>
    </row>
    <row r="111" spans="1:9" x14ac:dyDescent="0.3">
      <c r="A111" t="s">
        <v>115</v>
      </c>
      <c r="B111" s="2">
        <v>8</v>
      </c>
      <c r="C111" s="1">
        <v>14</v>
      </c>
      <c r="D111" s="1">
        <v>5.1000000000000004E-3</v>
      </c>
      <c r="E111">
        <v>4.0000000000000001E-3</v>
      </c>
      <c r="F111" s="3">
        <v>7.7000000000000002E-3</v>
      </c>
      <c r="G111" s="3">
        <v>1E-4</v>
      </c>
      <c r="H111" s="2">
        <v>8.3000000000000001E-3</v>
      </c>
      <c r="I111" s="1">
        <v>6.4000000000000003E-3</v>
      </c>
    </row>
    <row r="112" spans="1:9" x14ac:dyDescent="0.3">
      <c r="A112" t="s">
        <v>116</v>
      </c>
      <c r="B112" s="2">
        <v>8</v>
      </c>
      <c r="C112" s="1">
        <v>14</v>
      </c>
      <c r="D112" s="1">
        <v>4.0000000000000002E-4</v>
      </c>
      <c r="E112">
        <v>5.9999999999999995E-4</v>
      </c>
      <c r="F112" s="3">
        <v>0</v>
      </c>
      <c r="G112" s="3">
        <v>4.4999999999999997E-3</v>
      </c>
      <c r="H112" s="2">
        <v>1.5E-3</v>
      </c>
      <c r="I112" s="1">
        <v>1.2699999999999999E-2</v>
      </c>
    </row>
    <row r="113" spans="1:9" x14ac:dyDescent="0.3">
      <c r="A113"/>
      <c r="D113" s="2" t="s">
        <v>117</v>
      </c>
      <c r="E113" s="2" t="s">
        <v>118</v>
      </c>
      <c r="F113" s="3"/>
      <c r="G113" s="3"/>
      <c r="I113" s="1"/>
    </row>
    <row r="114" spans="1:9" x14ac:dyDescent="0.3">
      <c r="A114"/>
      <c r="B114" s="2">
        <f>B112</f>
        <v>8</v>
      </c>
      <c r="C114" s="2">
        <f>C112</f>
        <v>14</v>
      </c>
      <c r="D114" s="2">
        <f>MAX(D108:I112)</f>
        <v>1.2699999999999999E-2</v>
      </c>
      <c r="E114" s="2">
        <f>AVERAGE(D108:I112)</f>
        <v>3.9199999999999999E-3</v>
      </c>
      <c r="F114" s="3"/>
      <c r="G114" s="3"/>
      <c r="I114" s="1"/>
    </row>
    <row r="116" spans="1:9" x14ac:dyDescent="0.3">
      <c r="A116" s="1" t="s">
        <v>17</v>
      </c>
      <c r="B116" s="2">
        <v>10</v>
      </c>
      <c r="C116" s="2">
        <v>4</v>
      </c>
      <c r="D116" s="2">
        <v>8.0000000000000002E-3</v>
      </c>
      <c r="E116" s="2">
        <v>2.0000000000000001E-4</v>
      </c>
      <c r="F116" s="2">
        <v>0.16739999999999999</v>
      </c>
      <c r="G116" s="2">
        <v>8.9999999999999998E-4</v>
      </c>
      <c r="H116" s="2">
        <v>3.5999999999999999E-3</v>
      </c>
      <c r="I116" s="2">
        <v>1.47E-2</v>
      </c>
    </row>
    <row r="117" spans="1:9" x14ac:dyDescent="0.3">
      <c r="A117" s="1" t="s">
        <v>21</v>
      </c>
      <c r="B117" s="2">
        <v>10</v>
      </c>
      <c r="C117" s="2">
        <v>4</v>
      </c>
      <c r="D117" s="2">
        <v>5.9999999999999995E-4</v>
      </c>
      <c r="E117" s="2">
        <v>4.0000000000000002E-4</v>
      </c>
      <c r="F117" s="2">
        <v>2.8E-3</v>
      </c>
      <c r="G117" s="2">
        <v>1.5599999999999999E-2</v>
      </c>
      <c r="H117" s="2">
        <v>2.9999999999999997E-4</v>
      </c>
      <c r="I117" s="2">
        <v>2.0899999999999998E-2</v>
      </c>
    </row>
    <row r="118" spans="1:9" x14ac:dyDescent="0.3">
      <c r="A118" s="1" t="s">
        <v>135</v>
      </c>
      <c r="B118" s="2">
        <v>10</v>
      </c>
      <c r="C118" s="2">
        <v>4</v>
      </c>
      <c r="D118" s="2">
        <v>5.7200000000000001E-2</v>
      </c>
      <c r="E118" s="2">
        <v>4.7000000000000002E-3</v>
      </c>
      <c r="F118" s="2">
        <v>2.7300000000000001E-2</v>
      </c>
      <c r="G118" s="2">
        <v>5.0299999999999997E-2</v>
      </c>
      <c r="H118" s="2">
        <v>2.1499999999999998E-2</v>
      </c>
      <c r="I118" s="2">
        <v>7.8899999999999998E-2</v>
      </c>
    </row>
    <row r="119" spans="1:9" x14ac:dyDescent="0.3">
      <c r="A119" s="1" t="s">
        <v>136</v>
      </c>
      <c r="B119" s="2">
        <v>10</v>
      </c>
      <c r="C119" s="2">
        <v>4</v>
      </c>
      <c r="D119" s="2">
        <v>4.5999999999999999E-3</v>
      </c>
      <c r="E119" s="2">
        <v>1E-4</v>
      </c>
      <c r="F119" s="2">
        <v>1.1000000000000001E-3</v>
      </c>
      <c r="G119" s="2">
        <v>4.0000000000000002E-4</v>
      </c>
      <c r="H119" s="2">
        <v>4.0000000000000002E-4</v>
      </c>
      <c r="I119" s="2">
        <v>3.5999999999999999E-3</v>
      </c>
    </row>
    <row r="120" spans="1:9" x14ac:dyDescent="0.3">
      <c r="A120" s="1" t="s">
        <v>137</v>
      </c>
      <c r="B120" s="2">
        <v>10</v>
      </c>
      <c r="C120" s="2">
        <v>4</v>
      </c>
      <c r="D120" s="2">
        <v>0</v>
      </c>
      <c r="E120" s="2">
        <v>1.8E-3</v>
      </c>
      <c r="F120" s="2">
        <v>1E-4</v>
      </c>
      <c r="G120" s="2">
        <v>0</v>
      </c>
      <c r="H120" s="2">
        <v>1E-4</v>
      </c>
      <c r="I120" s="2">
        <v>5.9999999999999995E-4</v>
      </c>
    </row>
    <row r="121" spans="1:9" x14ac:dyDescent="0.3">
      <c r="D121" s="2" t="s">
        <v>117</v>
      </c>
      <c r="E121" s="2" t="s">
        <v>118</v>
      </c>
    </row>
    <row r="122" spans="1:9" x14ac:dyDescent="0.3">
      <c r="B122" s="2">
        <f>B120</f>
        <v>10</v>
      </c>
      <c r="C122" s="2">
        <f>C120</f>
        <v>4</v>
      </c>
      <c r="D122" s="2">
        <f>MAX(D116:I120)</f>
        <v>0.16739999999999999</v>
      </c>
      <c r="E122" s="2">
        <f>AVERAGE(D116:I120)</f>
        <v>1.6269999999999996E-2</v>
      </c>
    </row>
    <row r="124" spans="1:9" x14ac:dyDescent="0.3">
      <c r="A124" s="1" t="s">
        <v>51</v>
      </c>
      <c r="B124" s="2">
        <v>12</v>
      </c>
      <c r="C124" s="2">
        <v>2</v>
      </c>
      <c r="D124" s="2">
        <v>0</v>
      </c>
      <c r="E124" s="2">
        <v>0.4657</v>
      </c>
      <c r="F124" s="2">
        <v>0.46800000000000003</v>
      </c>
      <c r="G124" s="2">
        <v>0</v>
      </c>
      <c r="H124" s="2">
        <v>4.6600000000000003E-2</v>
      </c>
      <c r="I124" s="2">
        <v>0.4627</v>
      </c>
    </row>
    <row r="125" spans="1:9" x14ac:dyDescent="0.3">
      <c r="A125" s="1" t="s">
        <v>50</v>
      </c>
      <c r="B125" s="2">
        <v>12</v>
      </c>
      <c r="C125" s="2">
        <v>2</v>
      </c>
      <c r="D125" s="2">
        <v>5.7500000000000002E-2</v>
      </c>
      <c r="E125" s="2">
        <v>0.15210000000000001</v>
      </c>
      <c r="F125" s="2">
        <v>0.1469</v>
      </c>
      <c r="G125" s="2">
        <v>3.9600000000000003E-2</v>
      </c>
      <c r="H125" s="2">
        <v>1E-4</v>
      </c>
      <c r="I125" s="2">
        <v>3.8399999999999997E-2</v>
      </c>
    </row>
    <row r="126" spans="1:9" x14ac:dyDescent="0.3">
      <c r="A126" s="1" t="s">
        <v>132</v>
      </c>
      <c r="B126" s="2">
        <v>12</v>
      </c>
      <c r="C126" s="2">
        <v>2</v>
      </c>
      <c r="D126" s="2">
        <v>8.8900000000000007E-2</v>
      </c>
      <c r="E126" s="2">
        <v>6.9699999999999998E-2</v>
      </c>
      <c r="F126" s="2">
        <v>0.1026</v>
      </c>
      <c r="G126" s="2">
        <v>0.1163</v>
      </c>
      <c r="H126" s="2">
        <v>7.6399999999999996E-2</v>
      </c>
      <c r="I126" s="2">
        <v>8.1199999999999994E-2</v>
      </c>
    </row>
    <row r="127" spans="1:9" x14ac:dyDescent="0.3">
      <c r="A127" s="1" t="s">
        <v>133</v>
      </c>
      <c r="B127" s="2">
        <v>12</v>
      </c>
      <c r="C127" s="2">
        <v>2</v>
      </c>
      <c r="D127" s="2">
        <v>2.5999999999999999E-3</v>
      </c>
      <c r="E127" s="2">
        <v>0</v>
      </c>
      <c r="F127" s="2">
        <v>8.9999999999999998E-4</v>
      </c>
      <c r="G127" s="2">
        <v>5.0000000000000001E-3</v>
      </c>
      <c r="H127" s="2">
        <v>8.0000000000000004E-4</v>
      </c>
      <c r="I127" s="2">
        <v>0</v>
      </c>
    </row>
    <row r="128" spans="1:9" x14ac:dyDescent="0.3">
      <c r="A128" s="1" t="s">
        <v>134</v>
      </c>
      <c r="B128" s="2">
        <v>12</v>
      </c>
      <c r="C128" s="2">
        <v>2</v>
      </c>
      <c r="D128" s="2">
        <v>2.0999999999999999E-3</v>
      </c>
      <c r="E128" s="2">
        <v>0</v>
      </c>
      <c r="F128" s="2">
        <v>1E-3</v>
      </c>
      <c r="G128" s="2">
        <v>0</v>
      </c>
      <c r="H128" s="2">
        <v>2.5999999999999999E-3</v>
      </c>
      <c r="I128" s="2">
        <v>0</v>
      </c>
    </row>
    <row r="129" spans="1:9" x14ac:dyDescent="0.3">
      <c r="D129" s="2" t="s">
        <v>117</v>
      </c>
      <c r="E129" s="2" t="s">
        <v>118</v>
      </c>
    </row>
    <row r="130" spans="1:9" x14ac:dyDescent="0.3">
      <c r="B130" s="2">
        <f>B128</f>
        <v>12</v>
      </c>
      <c r="C130" s="2">
        <f>C128</f>
        <v>2</v>
      </c>
      <c r="D130" s="2">
        <f>MAX(D124:I128)</f>
        <v>0.46800000000000003</v>
      </c>
      <c r="E130" s="2">
        <f>AVERAGE(D124:I128)</f>
        <v>8.0923333333333319E-2</v>
      </c>
    </row>
    <row r="132" spans="1:9" x14ac:dyDescent="0.3">
      <c r="A132" s="1" t="s">
        <v>49</v>
      </c>
      <c r="B132" s="2">
        <v>12</v>
      </c>
      <c r="C132" s="2">
        <v>4</v>
      </c>
      <c r="D132" s="2">
        <v>0</v>
      </c>
      <c r="E132" s="2">
        <v>0</v>
      </c>
      <c r="F132" s="2">
        <v>1E-4</v>
      </c>
      <c r="G132" s="2">
        <v>1E-4</v>
      </c>
      <c r="H132" s="2">
        <v>1E-4</v>
      </c>
      <c r="I132" s="2">
        <v>0</v>
      </c>
    </row>
    <row r="133" spans="1:9" x14ac:dyDescent="0.3">
      <c r="A133" s="1" t="s">
        <v>48</v>
      </c>
      <c r="B133" s="2">
        <v>12</v>
      </c>
      <c r="C133" s="2">
        <v>4</v>
      </c>
      <c r="D133" s="2">
        <v>2.9999999999999997E-4</v>
      </c>
      <c r="E133" s="2">
        <v>0</v>
      </c>
      <c r="F133" s="2">
        <v>5.0000000000000001E-4</v>
      </c>
      <c r="G133" s="2">
        <v>1E-4</v>
      </c>
      <c r="H133" s="2">
        <v>5.0000000000000001E-4</v>
      </c>
      <c r="I133" s="2">
        <v>0</v>
      </c>
    </row>
    <row r="134" spans="1:9" x14ac:dyDescent="0.3">
      <c r="A134" s="1" t="s">
        <v>129</v>
      </c>
      <c r="B134" s="2">
        <v>12</v>
      </c>
      <c r="C134" s="2">
        <v>4</v>
      </c>
      <c r="D134" s="2">
        <v>1E-4</v>
      </c>
      <c r="E134" s="2">
        <v>5.0000000000000001E-4</v>
      </c>
      <c r="F134" s="2">
        <v>4.0000000000000002E-4</v>
      </c>
      <c r="G134" s="2">
        <v>6.9999999999999999E-4</v>
      </c>
      <c r="H134" s="2">
        <v>1E-4</v>
      </c>
      <c r="I134" s="2">
        <v>3.0999999999999999E-3</v>
      </c>
    </row>
    <row r="135" spans="1:9" x14ac:dyDescent="0.3">
      <c r="A135" s="1" t="s">
        <v>130</v>
      </c>
      <c r="B135" s="2">
        <v>12</v>
      </c>
      <c r="C135" s="2">
        <v>4</v>
      </c>
      <c r="D135" s="2">
        <v>1E-4</v>
      </c>
      <c r="E135" s="2">
        <v>4.0000000000000002E-4</v>
      </c>
      <c r="F135" s="2">
        <v>0</v>
      </c>
      <c r="G135" s="2">
        <v>2.0000000000000001E-4</v>
      </c>
      <c r="H135" s="2">
        <v>1E-4</v>
      </c>
      <c r="I135" s="2">
        <v>1E-4</v>
      </c>
    </row>
    <row r="136" spans="1:9" x14ac:dyDescent="0.3">
      <c r="A136" s="1" t="s">
        <v>131</v>
      </c>
      <c r="B136" s="2">
        <v>12</v>
      </c>
      <c r="C136" s="2">
        <v>4</v>
      </c>
      <c r="D136" s="3">
        <v>1.1999999999999999E-3</v>
      </c>
      <c r="E136" s="3">
        <v>1E-4</v>
      </c>
      <c r="F136" s="2">
        <v>6.9999999999999999E-4</v>
      </c>
      <c r="G136" s="1">
        <v>5.0000000000000001E-4</v>
      </c>
      <c r="H136" s="3">
        <v>0</v>
      </c>
      <c r="I136" s="2">
        <v>2.8999999999999998E-3</v>
      </c>
    </row>
    <row r="137" spans="1:9" x14ac:dyDescent="0.3">
      <c r="A137"/>
      <c r="D137" s="2" t="s">
        <v>117</v>
      </c>
      <c r="E137" s="2" t="s">
        <v>118</v>
      </c>
      <c r="F137" s="3"/>
      <c r="G137"/>
      <c r="H137" s="3"/>
    </row>
    <row r="138" spans="1:9" x14ac:dyDescent="0.3">
      <c r="A138"/>
      <c r="B138" s="2">
        <f>B136</f>
        <v>12</v>
      </c>
      <c r="C138" s="2">
        <f>C136</f>
        <v>4</v>
      </c>
      <c r="D138" s="2">
        <f>MAX(D132:I136)</f>
        <v>3.0999999999999999E-3</v>
      </c>
      <c r="E138" s="2">
        <f>AVERAGE(D132:I136)</f>
        <v>4.2999999999999999E-4</v>
      </c>
      <c r="F138" s="3"/>
      <c r="G138"/>
      <c r="H138" s="3"/>
    </row>
    <row r="139" spans="1:9" x14ac:dyDescent="0.3">
      <c r="A139"/>
      <c r="B139" s="3"/>
      <c r="D139" s="3"/>
      <c r="E139" s="3"/>
      <c r="F139" s="3"/>
      <c r="G139"/>
      <c r="H139" s="3"/>
    </row>
    <row r="140" spans="1:9" x14ac:dyDescent="0.3">
      <c r="A140" t="s">
        <v>47</v>
      </c>
      <c r="B140" s="3">
        <v>12</v>
      </c>
      <c r="C140" s="2">
        <v>6</v>
      </c>
      <c r="D140" s="3">
        <v>0</v>
      </c>
      <c r="E140" s="3">
        <v>0</v>
      </c>
      <c r="F140" s="3">
        <v>2.3E-3</v>
      </c>
      <c r="G140" s="3">
        <v>0</v>
      </c>
      <c r="H140" s="3">
        <v>0</v>
      </c>
      <c r="I140" s="2">
        <v>0</v>
      </c>
    </row>
    <row r="141" spans="1:9" x14ac:dyDescent="0.3">
      <c r="A141" t="s">
        <v>46</v>
      </c>
      <c r="B141" s="3">
        <v>12</v>
      </c>
      <c r="C141" s="2">
        <v>6</v>
      </c>
      <c r="D141" s="3">
        <v>0</v>
      </c>
      <c r="E141" s="3">
        <v>0</v>
      </c>
      <c r="F141" s="3">
        <v>0</v>
      </c>
      <c r="G141" s="3">
        <v>5.0000000000000001E-3</v>
      </c>
      <c r="H141" s="3">
        <v>2.9999999999999997E-4</v>
      </c>
      <c r="I141" s="2">
        <v>0</v>
      </c>
    </row>
    <row r="142" spans="1:9" x14ac:dyDescent="0.3">
      <c r="A142" t="s">
        <v>126</v>
      </c>
      <c r="B142" s="3">
        <v>12</v>
      </c>
      <c r="C142" s="2">
        <v>6</v>
      </c>
      <c r="D142" s="3">
        <v>0</v>
      </c>
      <c r="E142" s="3">
        <v>2.9999999999999997E-4</v>
      </c>
      <c r="F142" s="3">
        <v>0</v>
      </c>
      <c r="G142" s="3">
        <v>1E-4</v>
      </c>
      <c r="H142" s="3">
        <v>1E-3</v>
      </c>
      <c r="I142" s="2">
        <v>0</v>
      </c>
    </row>
    <row r="143" spans="1:9" x14ac:dyDescent="0.3">
      <c r="A143" t="s">
        <v>127</v>
      </c>
      <c r="B143" s="3">
        <v>12</v>
      </c>
      <c r="C143" s="2">
        <v>6</v>
      </c>
      <c r="D143" s="3">
        <v>1E-4</v>
      </c>
      <c r="E143" s="3">
        <v>1E-4</v>
      </c>
      <c r="F143" s="3">
        <v>1E-4</v>
      </c>
      <c r="G143" s="3">
        <v>0</v>
      </c>
      <c r="H143" s="3">
        <v>1E-4</v>
      </c>
      <c r="I143" s="2">
        <v>2.0000000000000001E-4</v>
      </c>
    </row>
    <row r="144" spans="1:9" x14ac:dyDescent="0.3">
      <c r="A144" t="s">
        <v>128</v>
      </c>
      <c r="B144" s="3">
        <v>12</v>
      </c>
      <c r="C144" s="2">
        <v>6</v>
      </c>
      <c r="D144" s="3">
        <v>1E-4</v>
      </c>
      <c r="E144" s="3">
        <v>1.9E-3</v>
      </c>
      <c r="F144" s="3">
        <v>2.0000000000000001E-4</v>
      </c>
      <c r="G144" s="3">
        <v>2.9999999999999997E-4</v>
      </c>
      <c r="H144" s="3">
        <v>0</v>
      </c>
      <c r="I144" s="2">
        <v>0</v>
      </c>
    </row>
    <row r="145" spans="1:8" x14ac:dyDescent="0.3">
      <c r="A145"/>
      <c r="D145" s="2" t="s">
        <v>117</v>
      </c>
      <c r="E145" s="2" t="s">
        <v>118</v>
      </c>
      <c r="F145" s="3"/>
      <c r="G145"/>
      <c r="H145" s="3"/>
    </row>
    <row r="146" spans="1:8" x14ac:dyDescent="0.3">
      <c r="A146"/>
      <c r="B146" s="2">
        <f>B144</f>
        <v>12</v>
      </c>
      <c r="C146" s="2">
        <f>C144</f>
        <v>6</v>
      </c>
      <c r="D146" s="2">
        <f>MAX(D140:I144)</f>
        <v>5.0000000000000001E-3</v>
      </c>
      <c r="E146" s="2">
        <f>AVERAGE(D140:I144)</f>
        <v>4.0333333333333334E-4</v>
      </c>
      <c r="F146" s="3"/>
      <c r="G146"/>
      <c r="H146" s="3"/>
    </row>
    <row r="147" spans="1:8" x14ac:dyDescent="0.3">
      <c r="A147"/>
      <c r="B147" s="3"/>
      <c r="D147" s="3"/>
      <c r="E147" s="3"/>
      <c r="F147" s="3"/>
      <c r="G147"/>
      <c r="H147" s="3"/>
    </row>
    <row r="148" spans="1:8" x14ac:dyDescent="0.3">
      <c r="A148" s="1" t="s">
        <v>54</v>
      </c>
      <c r="B148" s="2">
        <v>5</v>
      </c>
      <c r="C148" s="2">
        <v>10</v>
      </c>
      <c r="D148" s="3">
        <v>1</v>
      </c>
      <c r="E148" s="3"/>
      <c r="G148" s="1"/>
    </row>
    <row r="149" spans="1:8" x14ac:dyDescent="0.3">
      <c r="A149" s="1" t="s">
        <v>55</v>
      </c>
      <c r="B149" s="2">
        <v>5</v>
      </c>
      <c r="C149" s="2">
        <v>10</v>
      </c>
      <c r="D149" s="2">
        <v>1</v>
      </c>
    </row>
    <row r="150" spans="1:8" x14ac:dyDescent="0.3">
      <c r="A150" s="1" t="s">
        <v>56</v>
      </c>
      <c r="B150" s="2">
        <v>5</v>
      </c>
      <c r="C150" s="2">
        <v>10</v>
      </c>
      <c r="D150" s="2">
        <v>1</v>
      </c>
    </row>
    <row r="151" spans="1:8" x14ac:dyDescent="0.3">
      <c r="A151" s="1" t="s">
        <v>97</v>
      </c>
      <c r="B151" s="2">
        <v>5</v>
      </c>
      <c r="C151" s="2">
        <v>10</v>
      </c>
      <c r="D151" s="2">
        <v>1</v>
      </c>
    </row>
    <row r="152" spans="1:8" x14ac:dyDescent="0.3">
      <c r="A152" s="1" t="s">
        <v>98</v>
      </c>
      <c r="B152" s="2">
        <v>5</v>
      </c>
      <c r="C152" s="2">
        <v>10</v>
      </c>
      <c r="D152" s="2">
        <v>1</v>
      </c>
    </row>
    <row r="153" spans="1:8" x14ac:dyDescent="0.3">
      <c r="D153" s="2" t="s">
        <v>117</v>
      </c>
      <c r="E153" s="2" t="s">
        <v>118</v>
      </c>
    </row>
    <row r="154" spans="1:8" x14ac:dyDescent="0.3">
      <c r="B154" s="2">
        <f>B152</f>
        <v>5</v>
      </c>
      <c r="C154" s="2">
        <f>C152</f>
        <v>10</v>
      </c>
      <c r="D154" s="2">
        <f>MAX(D148:I152)</f>
        <v>1</v>
      </c>
      <c r="E154" s="2">
        <f>AVERAGE(D148:I152)</f>
        <v>1</v>
      </c>
    </row>
    <row r="156" spans="1:8" x14ac:dyDescent="0.3">
      <c r="A156" s="1" t="s">
        <v>168</v>
      </c>
      <c r="B156" s="2">
        <v>8</v>
      </c>
      <c r="C156" s="2">
        <v>16</v>
      </c>
      <c r="D156" s="2">
        <v>1</v>
      </c>
    </row>
    <row r="157" spans="1:8" x14ac:dyDescent="0.3">
      <c r="A157" s="1" t="s">
        <v>169</v>
      </c>
      <c r="B157" s="2">
        <v>8</v>
      </c>
      <c r="C157" s="2">
        <v>16</v>
      </c>
      <c r="D157" s="2">
        <v>1</v>
      </c>
    </row>
    <row r="158" spans="1:8" x14ac:dyDescent="0.3">
      <c r="A158" s="1" t="s">
        <v>170</v>
      </c>
      <c r="B158" s="2">
        <v>8</v>
      </c>
      <c r="C158" s="2">
        <v>16</v>
      </c>
      <c r="D158" s="2">
        <v>1</v>
      </c>
    </row>
    <row r="159" spans="1:8" x14ac:dyDescent="0.3">
      <c r="A159" s="1" t="s">
        <v>171</v>
      </c>
      <c r="B159" s="2">
        <v>8</v>
      </c>
      <c r="C159" s="2">
        <v>16</v>
      </c>
      <c r="D159" s="2">
        <v>1</v>
      </c>
    </row>
    <row r="160" spans="1:8" x14ac:dyDescent="0.3">
      <c r="A160" s="1" t="s">
        <v>172</v>
      </c>
      <c r="B160" s="2">
        <v>8</v>
      </c>
      <c r="C160" s="2">
        <v>16</v>
      </c>
      <c r="D160" s="2">
        <v>1</v>
      </c>
    </row>
    <row r="161" spans="1:14" x14ac:dyDescent="0.3">
      <c r="D161" s="2" t="s">
        <v>117</v>
      </c>
      <c r="E161" s="2" t="s">
        <v>118</v>
      </c>
    </row>
    <row r="162" spans="1:14" x14ac:dyDescent="0.3">
      <c r="B162" s="2">
        <f>B160</f>
        <v>8</v>
      </c>
      <c r="C162" s="2">
        <f>C160</f>
        <v>16</v>
      </c>
      <c r="D162" s="2">
        <f>MAX(D156:I160)</f>
        <v>1</v>
      </c>
      <c r="E162" s="2">
        <f>AVERAGE(D156:I160)</f>
        <v>1</v>
      </c>
    </row>
    <row r="164" spans="1:14" x14ac:dyDescent="0.3">
      <c r="A164" s="1" t="s">
        <v>57</v>
      </c>
      <c r="B164" s="2">
        <v>5</v>
      </c>
      <c r="C164" s="2">
        <v>37</v>
      </c>
      <c r="D164" s="2">
        <v>1</v>
      </c>
      <c r="E164" s="2">
        <v>0.9</v>
      </c>
    </row>
    <row r="165" spans="1:14" x14ac:dyDescent="0.3">
      <c r="A165" s="1" t="s">
        <v>99</v>
      </c>
      <c r="B165" s="2">
        <v>5</v>
      </c>
      <c r="C165" s="2">
        <v>37</v>
      </c>
      <c r="D165" s="2">
        <v>1</v>
      </c>
    </row>
    <row r="166" spans="1:14" x14ac:dyDescent="0.3">
      <c r="A166" s="1" t="s">
        <v>101</v>
      </c>
      <c r="B166" s="2">
        <v>5</v>
      </c>
      <c r="C166" s="2">
        <v>37</v>
      </c>
      <c r="D166" s="2">
        <v>1</v>
      </c>
      <c r="E166" s="2">
        <v>0.87890000000000001</v>
      </c>
    </row>
    <row r="167" spans="1:14" x14ac:dyDescent="0.3">
      <c r="A167" s="1" t="s">
        <v>102</v>
      </c>
      <c r="B167" s="2">
        <v>5</v>
      </c>
      <c r="C167" s="2">
        <v>37</v>
      </c>
      <c r="D167" s="2">
        <v>1</v>
      </c>
    </row>
    <row r="168" spans="1:14" x14ac:dyDescent="0.3">
      <c r="D168" s="2" t="s">
        <v>117</v>
      </c>
      <c r="E168" s="2" t="s">
        <v>118</v>
      </c>
    </row>
    <row r="169" spans="1:14" x14ac:dyDescent="0.3">
      <c r="B169" s="2">
        <f>B167</f>
        <v>5</v>
      </c>
      <c r="C169" s="2">
        <f>C167</f>
        <v>37</v>
      </c>
      <c r="D169" s="2">
        <f>MAX(D164:I167)</f>
        <v>1</v>
      </c>
      <c r="E169" s="2">
        <f>AVERAGE(D164:I167)</f>
        <v>0.96315000000000006</v>
      </c>
    </row>
    <row r="171" spans="1:14" x14ac:dyDescent="0.3">
      <c r="A171" s="1" t="s">
        <v>58</v>
      </c>
      <c r="B171" s="2">
        <v>5</v>
      </c>
      <c r="C171" s="2">
        <v>17</v>
      </c>
      <c r="D171" s="2">
        <v>1</v>
      </c>
      <c r="E171" s="2">
        <v>0.9</v>
      </c>
      <c r="F171" s="2">
        <v>0.72860000000000003</v>
      </c>
    </row>
    <row r="172" spans="1:14" s="2" customFormat="1" x14ac:dyDescent="0.3">
      <c r="A172" s="1" t="s">
        <v>103</v>
      </c>
      <c r="B172" s="2">
        <v>5</v>
      </c>
      <c r="C172" s="2">
        <v>17</v>
      </c>
      <c r="D172" s="2">
        <v>1</v>
      </c>
      <c r="E172" s="2">
        <v>0.72860000000000003</v>
      </c>
      <c r="J172"/>
      <c r="K172"/>
      <c r="L172"/>
      <c r="M172"/>
      <c r="N172"/>
    </row>
    <row r="173" spans="1:14" s="2" customFormat="1" x14ac:dyDescent="0.3">
      <c r="A173" s="1" t="s">
        <v>104</v>
      </c>
      <c r="B173" s="2">
        <v>5</v>
      </c>
      <c r="C173" s="2">
        <v>17</v>
      </c>
      <c r="D173" s="2">
        <v>1</v>
      </c>
      <c r="J173"/>
      <c r="K173"/>
      <c r="L173"/>
      <c r="M173"/>
      <c r="N173"/>
    </row>
    <row r="174" spans="1:14" s="2" customFormat="1" x14ac:dyDescent="0.3">
      <c r="A174" s="1" t="s">
        <v>105</v>
      </c>
      <c r="B174" s="2">
        <v>5</v>
      </c>
      <c r="C174" s="2">
        <v>17</v>
      </c>
      <c r="D174" s="2">
        <v>1</v>
      </c>
      <c r="J174"/>
      <c r="K174"/>
      <c r="L174"/>
      <c r="M174"/>
      <c r="N174"/>
    </row>
    <row r="175" spans="1:14" s="2" customFormat="1" x14ac:dyDescent="0.3">
      <c r="A175" s="1" t="s">
        <v>106</v>
      </c>
      <c r="B175" s="2">
        <v>5</v>
      </c>
      <c r="C175" s="2">
        <v>17</v>
      </c>
      <c r="D175" s="2">
        <v>1</v>
      </c>
      <c r="J175"/>
      <c r="K175"/>
      <c r="L175"/>
      <c r="M175"/>
      <c r="N175"/>
    </row>
    <row r="176" spans="1:14" x14ac:dyDescent="0.3">
      <c r="D176" s="2" t="s">
        <v>117</v>
      </c>
      <c r="E176" s="2" t="s">
        <v>118</v>
      </c>
    </row>
    <row r="177" spans="1:12" x14ac:dyDescent="0.3">
      <c r="B177" s="2">
        <f>B175</f>
        <v>5</v>
      </c>
      <c r="C177" s="2">
        <f>C175</f>
        <v>17</v>
      </c>
      <c r="D177" s="2">
        <f>MAX(D171:I175)</f>
        <v>1</v>
      </c>
      <c r="E177" s="2">
        <f>AVERAGE(D171:I175)</f>
        <v>0.91964999999999997</v>
      </c>
    </row>
    <row r="179" spans="1:12" x14ac:dyDescent="0.3">
      <c r="A179" s="1" t="s">
        <v>138</v>
      </c>
      <c r="B179" s="2">
        <v>5</v>
      </c>
      <c r="C179" s="2">
        <v>4</v>
      </c>
      <c r="D179" s="2">
        <v>1</v>
      </c>
      <c r="E179"/>
      <c r="F179"/>
      <c r="H179"/>
      <c r="I179"/>
      <c r="L179" s="2"/>
    </row>
    <row r="180" spans="1:12" x14ac:dyDescent="0.3">
      <c r="A180" s="1" t="s">
        <v>139</v>
      </c>
      <c r="B180" s="2">
        <v>5</v>
      </c>
      <c r="C180" s="2">
        <v>4</v>
      </c>
      <c r="D180" s="2">
        <v>1</v>
      </c>
      <c r="E180"/>
      <c r="F180"/>
      <c r="H180"/>
      <c r="I180"/>
      <c r="L180" s="2"/>
    </row>
    <row r="181" spans="1:12" x14ac:dyDescent="0.3">
      <c r="A181" s="1" t="s">
        <v>140</v>
      </c>
      <c r="B181" s="2">
        <v>5</v>
      </c>
      <c r="C181" s="2">
        <v>4</v>
      </c>
      <c r="D181" s="2">
        <v>1</v>
      </c>
      <c r="E181"/>
      <c r="F181"/>
      <c r="H181"/>
      <c r="I181"/>
      <c r="L181" s="2"/>
    </row>
    <row r="182" spans="1:12" x14ac:dyDescent="0.3">
      <c r="A182" s="1" t="s">
        <v>141</v>
      </c>
      <c r="B182" s="2">
        <v>5</v>
      </c>
      <c r="C182" s="2">
        <v>4</v>
      </c>
      <c r="D182" s="2">
        <v>1</v>
      </c>
      <c r="E182"/>
      <c r="F182"/>
      <c r="H182"/>
      <c r="I182"/>
      <c r="L182" s="2"/>
    </row>
    <row r="183" spans="1:12" x14ac:dyDescent="0.3">
      <c r="A183" s="1" t="s">
        <v>142</v>
      </c>
      <c r="B183" s="2">
        <v>5</v>
      </c>
      <c r="C183" s="2">
        <v>4</v>
      </c>
      <c r="D183" s="2">
        <v>1</v>
      </c>
      <c r="E183"/>
      <c r="F183"/>
      <c r="H183"/>
      <c r="I183"/>
      <c r="L183" s="2"/>
    </row>
    <row r="184" spans="1:12" x14ac:dyDescent="0.3">
      <c r="D184" s="2" t="s">
        <v>117</v>
      </c>
      <c r="E184" s="2" t="s">
        <v>118</v>
      </c>
    </row>
    <row r="185" spans="1:12" x14ac:dyDescent="0.3">
      <c r="B185" s="2">
        <f>B183</f>
        <v>5</v>
      </c>
      <c r="C185" s="2">
        <f>C183</f>
        <v>4</v>
      </c>
      <c r="D185" s="2">
        <f>MAX(D179:I183)</f>
        <v>1</v>
      </c>
      <c r="E185" s="2">
        <f>AVERAGE(D179:I183)</f>
        <v>1</v>
      </c>
    </row>
    <row r="187" spans="1:12" x14ac:dyDescent="0.3">
      <c r="A187" s="1" t="s">
        <v>143</v>
      </c>
      <c r="B187" s="2">
        <v>8</v>
      </c>
      <c r="C187" s="2">
        <v>8</v>
      </c>
      <c r="D187">
        <v>0</v>
      </c>
      <c r="E187">
        <v>7.7999999999999996E-3</v>
      </c>
      <c r="F187">
        <v>1.5599999999999999E-2</v>
      </c>
      <c r="G187">
        <v>0</v>
      </c>
      <c r="H187">
        <v>0</v>
      </c>
      <c r="I187">
        <v>5.33E-2</v>
      </c>
    </row>
    <row r="188" spans="1:12" x14ac:dyDescent="0.3">
      <c r="A188" s="1" t="s">
        <v>145</v>
      </c>
      <c r="B188" s="2">
        <v>8</v>
      </c>
      <c r="C188" s="2">
        <v>8</v>
      </c>
      <c r="D188">
        <v>0</v>
      </c>
      <c r="E188">
        <v>0</v>
      </c>
      <c r="F188">
        <v>6.25E-2</v>
      </c>
      <c r="G188">
        <v>0.25</v>
      </c>
      <c r="H188">
        <v>0</v>
      </c>
      <c r="I188">
        <v>0.125</v>
      </c>
    </row>
    <row r="189" spans="1:12" x14ac:dyDescent="0.3">
      <c r="A189" s="1" t="s">
        <v>146</v>
      </c>
      <c r="B189" s="2">
        <v>8</v>
      </c>
      <c r="C189" s="2">
        <v>8</v>
      </c>
      <c r="D189">
        <v>6.25E-2</v>
      </c>
      <c r="E189">
        <v>7.7999999999999996E-3</v>
      </c>
      <c r="F189">
        <v>1.5599999999999999E-2</v>
      </c>
      <c r="G189">
        <v>3.1199999999999999E-2</v>
      </c>
      <c r="H189">
        <v>0</v>
      </c>
      <c r="I189">
        <v>3.1199999999999999E-2</v>
      </c>
    </row>
    <row r="190" spans="1:12" x14ac:dyDescent="0.3">
      <c r="A190" s="1" t="s">
        <v>147</v>
      </c>
      <c r="B190" s="2">
        <v>8</v>
      </c>
      <c r="C190" s="2">
        <v>8</v>
      </c>
      <c r="D190">
        <v>0</v>
      </c>
      <c r="E190">
        <v>3.1199999999999999E-2</v>
      </c>
      <c r="F190">
        <v>3.1199999999999999E-2</v>
      </c>
      <c r="G190">
        <v>1.5599999999999999E-2</v>
      </c>
      <c r="H190">
        <v>0</v>
      </c>
      <c r="I190">
        <v>0.125</v>
      </c>
    </row>
    <row r="191" spans="1:12" x14ac:dyDescent="0.3">
      <c r="A191" s="1" t="s">
        <v>148</v>
      </c>
      <c r="B191" s="2">
        <v>8</v>
      </c>
      <c r="C191" s="2">
        <v>8</v>
      </c>
      <c r="D191">
        <v>0</v>
      </c>
      <c r="E191">
        <v>0.125</v>
      </c>
      <c r="F191">
        <v>0.125</v>
      </c>
      <c r="G191">
        <v>3.1199999999999999E-2</v>
      </c>
      <c r="H191">
        <v>3.1199999999999999E-2</v>
      </c>
      <c r="I191">
        <v>0.5</v>
      </c>
    </row>
    <row r="192" spans="1:12" x14ac:dyDescent="0.3">
      <c r="D192" s="2" t="s">
        <v>117</v>
      </c>
      <c r="E192" s="2" t="s">
        <v>118</v>
      </c>
    </row>
    <row r="193" spans="1:17" x14ac:dyDescent="0.3">
      <c r="B193" s="2">
        <f>B191</f>
        <v>8</v>
      </c>
      <c r="C193" s="2">
        <f>C191</f>
        <v>8</v>
      </c>
      <c r="D193" s="2">
        <f>MAX(D187:I191)</f>
        <v>0.5</v>
      </c>
      <c r="E193" s="2">
        <f>AVERAGE(D187:I191)</f>
        <v>5.5929999999999994E-2</v>
      </c>
    </row>
    <row r="195" spans="1:17" x14ac:dyDescent="0.3">
      <c r="A195" s="1" t="s">
        <v>144</v>
      </c>
      <c r="B195" s="2">
        <v>10</v>
      </c>
      <c r="C195" s="2">
        <v>15</v>
      </c>
      <c r="D195" s="2">
        <v>1.5599999999999999E-2</v>
      </c>
      <c r="E195" s="2">
        <v>2E-3</v>
      </c>
      <c r="F195" s="2">
        <v>7.7999999999999996E-3</v>
      </c>
      <c r="G195" s="2">
        <v>0</v>
      </c>
      <c r="H195" s="2">
        <v>0</v>
      </c>
      <c r="I195" s="2">
        <v>0</v>
      </c>
      <c r="L195" s="2"/>
      <c r="M195" s="2"/>
      <c r="N195" s="2"/>
      <c r="O195" s="2"/>
      <c r="P195" s="2"/>
      <c r="Q195" s="2"/>
    </row>
    <row r="196" spans="1:17" x14ac:dyDescent="0.3">
      <c r="A196" s="1" t="s">
        <v>149</v>
      </c>
      <c r="B196" s="2">
        <v>10</v>
      </c>
      <c r="C196" s="2">
        <v>15</v>
      </c>
      <c r="D196" s="2">
        <v>1.5599999999999999E-2</v>
      </c>
      <c r="E196" s="2">
        <v>1.3299999999999999E-2</v>
      </c>
      <c r="F196" s="2">
        <v>1E-3</v>
      </c>
      <c r="G196" s="2">
        <v>2E-3</v>
      </c>
      <c r="H196" s="2">
        <v>0</v>
      </c>
      <c r="I196" s="2">
        <v>1.5599999999999999E-2</v>
      </c>
      <c r="L196" s="2"/>
      <c r="M196" s="2"/>
      <c r="N196" s="2"/>
      <c r="O196" s="2"/>
      <c r="P196" s="2"/>
      <c r="Q196" s="2"/>
    </row>
    <row r="197" spans="1:17" x14ac:dyDescent="0.3">
      <c r="A197" s="1" t="s">
        <v>150</v>
      </c>
      <c r="B197" s="2">
        <v>10</v>
      </c>
      <c r="C197" s="2">
        <v>15</v>
      </c>
      <c r="D197" s="2">
        <v>0</v>
      </c>
      <c r="E197" s="2">
        <v>1E-3</v>
      </c>
      <c r="F197" s="2">
        <v>1E-3</v>
      </c>
      <c r="G197" s="2">
        <v>0</v>
      </c>
      <c r="H197" s="2">
        <v>3.1199999999999999E-2</v>
      </c>
      <c r="I197" s="2">
        <v>1.5599999999999999E-2</v>
      </c>
      <c r="L197" s="2"/>
      <c r="M197" s="2"/>
      <c r="N197" s="2"/>
      <c r="O197" s="2"/>
      <c r="P197" s="2"/>
      <c r="Q197" s="2"/>
    </row>
    <row r="198" spans="1:17" x14ac:dyDescent="0.3">
      <c r="A198" s="1" t="s">
        <v>151</v>
      </c>
      <c r="B198" s="2">
        <v>10</v>
      </c>
      <c r="C198" s="2">
        <v>15</v>
      </c>
      <c r="D198" s="2">
        <v>1E-3</v>
      </c>
      <c r="E198" s="2">
        <v>0</v>
      </c>
      <c r="F198" s="2">
        <v>0</v>
      </c>
      <c r="G198" s="2">
        <v>0</v>
      </c>
      <c r="H198" s="2">
        <v>0</v>
      </c>
      <c r="I198" s="2">
        <v>2E-3</v>
      </c>
      <c r="L198" s="2"/>
      <c r="M198" s="2"/>
      <c r="N198" s="2"/>
      <c r="O198" s="2"/>
      <c r="P198" s="2"/>
      <c r="Q198" s="2"/>
    </row>
    <row r="199" spans="1:17" x14ac:dyDescent="0.3">
      <c r="A199" s="1" t="s">
        <v>152</v>
      </c>
      <c r="B199" s="2">
        <v>10</v>
      </c>
      <c r="C199" s="2">
        <v>15</v>
      </c>
      <c r="D199" s="2">
        <v>1E-3</v>
      </c>
      <c r="E199" s="2">
        <v>3.1199999999999999E-2</v>
      </c>
      <c r="F199" s="2">
        <v>1E-3</v>
      </c>
      <c r="G199" s="2">
        <v>1E-3</v>
      </c>
      <c r="H199" s="2">
        <v>3.8999999999999998E-3</v>
      </c>
      <c r="I199" s="2">
        <v>3.8999999999999998E-3</v>
      </c>
      <c r="L199" s="2"/>
      <c r="M199" s="2"/>
      <c r="N199" s="2"/>
      <c r="O199" s="2"/>
      <c r="P199" s="2"/>
      <c r="Q199" s="2"/>
    </row>
    <row r="200" spans="1:17" x14ac:dyDescent="0.3">
      <c r="D200" s="2" t="s">
        <v>117</v>
      </c>
      <c r="E200" s="2" t="s">
        <v>118</v>
      </c>
    </row>
    <row r="201" spans="1:17" x14ac:dyDescent="0.3">
      <c r="B201" s="2">
        <f>B199</f>
        <v>10</v>
      </c>
      <c r="C201" s="2">
        <f>C199</f>
        <v>15</v>
      </c>
      <c r="D201" s="2">
        <f>MAX(D195:I199)</f>
        <v>3.1199999999999999E-2</v>
      </c>
      <c r="E201" s="2">
        <f>AVERAGE(D195:I199)</f>
        <v>5.5566666666666664E-3</v>
      </c>
    </row>
    <row r="203" spans="1:17" x14ac:dyDescent="0.3">
      <c r="A203" s="1" t="s">
        <v>154</v>
      </c>
      <c r="B203" s="2">
        <v>5</v>
      </c>
      <c r="C203" s="2">
        <v>5</v>
      </c>
      <c r="D203" s="2">
        <v>1</v>
      </c>
      <c r="E203"/>
      <c r="F203"/>
      <c r="H203"/>
      <c r="I203"/>
      <c r="L203" s="2"/>
    </row>
    <row r="204" spans="1:17" x14ac:dyDescent="0.3">
      <c r="A204" s="1" t="s">
        <v>155</v>
      </c>
      <c r="B204" s="2">
        <v>5</v>
      </c>
      <c r="C204" s="2">
        <v>5</v>
      </c>
      <c r="D204" s="2">
        <v>1</v>
      </c>
      <c r="E204"/>
      <c r="F204"/>
      <c r="H204"/>
      <c r="I204"/>
      <c r="L204" s="2"/>
    </row>
    <row r="205" spans="1:17" x14ac:dyDescent="0.3">
      <c r="A205" s="1" t="s">
        <v>156</v>
      </c>
      <c r="B205" s="2">
        <v>5</v>
      </c>
      <c r="C205" s="2">
        <v>5</v>
      </c>
      <c r="D205" s="2">
        <v>1</v>
      </c>
      <c r="E205"/>
      <c r="F205"/>
      <c r="H205"/>
      <c r="I205"/>
      <c r="L205" s="2"/>
    </row>
    <row r="206" spans="1:17" x14ac:dyDescent="0.3">
      <c r="A206" s="1" t="s">
        <v>157</v>
      </c>
      <c r="B206" s="2">
        <v>5</v>
      </c>
      <c r="C206" s="2">
        <v>5</v>
      </c>
      <c r="D206" s="2">
        <v>1</v>
      </c>
      <c r="E206"/>
      <c r="F206"/>
      <c r="H206"/>
      <c r="I206"/>
      <c r="L206" s="2"/>
    </row>
    <row r="207" spans="1:17" x14ac:dyDescent="0.3">
      <c r="A207" s="1" t="s">
        <v>158</v>
      </c>
      <c r="B207" s="2">
        <v>5</v>
      </c>
      <c r="C207" s="2">
        <v>5</v>
      </c>
      <c r="D207" s="2">
        <v>1</v>
      </c>
      <c r="E207"/>
      <c r="F207"/>
      <c r="H207"/>
      <c r="I207"/>
      <c r="L207" s="2"/>
    </row>
    <row r="208" spans="1:17" x14ac:dyDescent="0.3">
      <c r="D208" s="2" t="s">
        <v>117</v>
      </c>
      <c r="E208" s="2" t="s">
        <v>118</v>
      </c>
      <c r="F208"/>
      <c r="H208"/>
      <c r="I208"/>
      <c r="L208" s="2"/>
    </row>
    <row r="209" spans="1:12" x14ac:dyDescent="0.3">
      <c r="B209" s="2">
        <f>B207</f>
        <v>5</v>
      </c>
      <c r="C209" s="2">
        <f>C207</f>
        <v>5</v>
      </c>
      <c r="D209" s="2">
        <f>MAX(D203:I207)</f>
        <v>1</v>
      </c>
      <c r="E209" s="2">
        <f>AVERAGE(D203:I207)</f>
        <v>1</v>
      </c>
      <c r="F209"/>
      <c r="H209"/>
      <c r="I209"/>
      <c r="L209" s="2"/>
    </row>
    <row r="210" spans="1:12" x14ac:dyDescent="0.3">
      <c r="D210"/>
      <c r="E210"/>
      <c r="F210"/>
      <c r="H210"/>
      <c r="I210"/>
      <c r="L210" s="2"/>
    </row>
    <row r="211" spans="1:12" x14ac:dyDescent="0.3">
      <c r="A211" s="1" t="s">
        <v>153</v>
      </c>
      <c r="B211" s="2">
        <v>8</v>
      </c>
      <c r="C211" s="2">
        <v>6</v>
      </c>
      <c r="D211" s="2">
        <v>1</v>
      </c>
      <c r="E211"/>
      <c r="F211"/>
      <c r="H211"/>
      <c r="I211"/>
      <c r="L211" s="2"/>
    </row>
    <row r="212" spans="1:12" x14ac:dyDescent="0.3">
      <c r="A212" s="1" t="s">
        <v>159</v>
      </c>
      <c r="B212" s="2">
        <v>8</v>
      </c>
      <c r="C212" s="2">
        <v>6</v>
      </c>
      <c r="D212" s="2">
        <v>1</v>
      </c>
      <c r="E212"/>
      <c r="F212"/>
      <c r="H212"/>
      <c r="I212"/>
      <c r="L212" s="2"/>
    </row>
    <row r="213" spans="1:12" x14ac:dyDescent="0.3">
      <c r="A213" s="1" t="s">
        <v>160</v>
      </c>
      <c r="B213" s="2">
        <v>8</v>
      </c>
      <c r="C213" s="2">
        <v>6</v>
      </c>
      <c r="D213" s="2">
        <v>1</v>
      </c>
      <c r="E213"/>
      <c r="F213"/>
      <c r="H213"/>
      <c r="I213"/>
      <c r="L213" s="2"/>
    </row>
    <row r="214" spans="1:12" x14ac:dyDescent="0.3">
      <c r="A214" s="1" t="s">
        <v>161</v>
      </c>
      <c r="B214" s="2">
        <v>8</v>
      </c>
      <c r="C214" s="2">
        <v>6</v>
      </c>
      <c r="D214" s="2">
        <v>1</v>
      </c>
      <c r="E214"/>
      <c r="F214"/>
      <c r="H214"/>
      <c r="I214"/>
      <c r="L214" s="2"/>
    </row>
    <row r="215" spans="1:12" x14ac:dyDescent="0.3">
      <c r="A215" s="1" t="s">
        <v>162</v>
      </c>
      <c r="B215" s="2">
        <v>8</v>
      </c>
      <c r="C215" s="2">
        <v>6</v>
      </c>
      <c r="D215" s="2">
        <v>1</v>
      </c>
      <c r="E215"/>
      <c r="F215"/>
      <c r="H215"/>
      <c r="I215"/>
      <c r="L215" s="2"/>
    </row>
    <row r="216" spans="1:12" x14ac:dyDescent="0.3">
      <c r="D216" s="2" t="s">
        <v>117</v>
      </c>
      <c r="E216" s="2" t="s">
        <v>118</v>
      </c>
    </row>
    <row r="217" spans="1:12" x14ac:dyDescent="0.3">
      <c r="B217" s="2">
        <f>B215</f>
        <v>8</v>
      </c>
      <c r="C217" s="2">
        <f>C215</f>
        <v>6</v>
      </c>
      <c r="D217" s="2">
        <f>MAX(D211:I215)</f>
        <v>1</v>
      </c>
      <c r="E217" s="2">
        <f>AVERAGE(D211:I215)</f>
        <v>1</v>
      </c>
    </row>
    <row r="219" spans="1:12" x14ac:dyDescent="0.3">
      <c r="A219" s="1" t="s">
        <v>163</v>
      </c>
      <c r="B219" s="2">
        <v>10</v>
      </c>
      <c r="C219" s="2">
        <v>3</v>
      </c>
      <c r="D219" s="2">
        <v>0.53349999999999997</v>
      </c>
      <c r="E219" s="2">
        <v>1.5599999999999999E-2</v>
      </c>
      <c r="F219" s="2">
        <v>0.18210000000000001</v>
      </c>
      <c r="G219" s="2">
        <v>7.8100000000000003E-2</v>
      </c>
      <c r="H219" s="2">
        <v>1.5599999999999999E-2</v>
      </c>
      <c r="I219" s="2">
        <v>7.8100000000000003E-2</v>
      </c>
    </row>
    <row r="220" spans="1:12" x14ac:dyDescent="0.3">
      <c r="A220" s="1" t="s">
        <v>164</v>
      </c>
      <c r="B220" s="2">
        <v>10</v>
      </c>
      <c r="C220" s="2">
        <v>3</v>
      </c>
      <c r="D220" s="2">
        <v>1</v>
      </c>
      <c r="E220" s="2">
        <v>0.25</v>
      </c>
      <c r="F220" s="2">
        <v>6.25E-2</v>
      </c>
      <c r="G220" s="2">
        <v>0.75980000000000003</v>
      </c>
      <c r="H220" s="2">
        <v>1.5599999999999999E-2</v>
      </c>
    </row>
    <row r="221" spans="1:12" x14ac:dyDescent="0.3">
      <c r="A221" s="1" t="s">
        <v>165</v>
      </c>
      <c r="B221" s="2">
        <v>10</v>
      </c>
      <c r="C221" s="2">
        <v>3</v>
      </c>
      <c r="D221" s="2">
        <v>1.5599999999999999E-2</v>
      </c>
      <c r="E221" s="2">
        <v>0.72860000000000003</v>
      </c>
      <c r="F221" s="2">
        <v>0.625</v>
      </c>
      <c r="G221" s="2">
        <v>1.5599999999999999E-2</v>
      </c>
      <c r="H221" s="2">
        <v>0.125</v>
      </c>
      <c r="I221" s="2">
        <v>0.18210000000000001</v>
      </c>
    </row>
    <row r="222" spans="1:12" x14ac:dyDescent="0.3">
      <c r="A222" s="1" t="s">
        <v>166</v>
      </c>
      <c r="B222" s="2">
        <v>10</v>
      </c>
      <c r="C222" s="2">
        <v>3</v>
      </c>
      <c r="D222" s="2">
        <v>0.62190000000000001</v>
      </c>
      <c r="E222" s="2">
        <v>3.1199999999999999E-2</v>
      </c>
      <c r="F222" s="2">
        <v>6.25E-2</v>
      </c>
      <c r="G222" s="2">
        <v>3.1199999999999999E-2</v>
      </c>
      <c r="H222" s="2">
        <v>1.83E-2</v>
      </c>
      <c r="I222" s="2">
        <v>7.7999999999999996E-3</v>
      </c>
    </row>
    <row r="223" spans="1:12" x14ac:dyDescent="0.3">
      <c r="A223" s="1" t="s">
        <v>167</v>
      </c>
      <c r="B223" s="2">
        <v>10</v>
      </c>
      <c r="C223" s="2">
        <v>3</v>
      </c>
      <c r="D223" s="2">
        <v>1.5599999999999999E-2</v>
      </c>
      <c r="E223" s="2">
        <v>0.18210000000000001</v>
      </c>
      <c r="F223" s="2">
        <v>0.18210000000000001</v>
      </c>
      <c r="G223" s="2">
        <v>6.25E-2</v>
      </c>
      <c r="H223" s="2">
        <v>1.5599999999999999E-2</v>
      </c>
      <c r="I223" s="2">
        <v>0.18210000000000001</v>
      </c>
    </row>
    <row r="224" spans="1:12" x14ac:dyDescent="0.3">
      <c r="D224" s="2" t="s">
        <v>117</v>
      </c>
      <c r="E224" s="2" t="s">
        <v>118</v>
      </c>
    </row>
    <row r="225" spans="2:5" x14ac:dyDescent="0.3">
      <c r="B225" s="2">
        <f>B223</f>
        <v>10</v>
      </c>
      <c r="C225" s="2">
        <f>C223</f>
        <v>3</v>
      </c>
      <c r="D225" s="2">
        <f>MAX(D219:I223)</f>
        <v>1</v>
      </c>
      <c r="E225" s="2">
        <f>AVERAGE(D219:I223)</f>
        <v>0.21019655172413795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eaed64-f042-482e-a652-79746ace4fc8}" enabled="0" method="" siteId="{22eaed64-f042-482e-a652-79746ace4f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GPT5.5</vt:lpstr>
      <vt:lpstr>Qwen3.6</vt:lpstr>
      <vt:lpstr>data_frame_C</vt:lpstr>
      <vt:lpstr>data_frame_Q</vt:lpstr>
    </vt:vector>
  </TitlesOfParts>
  <Company>Software Competence Center Hagenberg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Schenkenfelder</dc:creator>
  <cp:lastModifiedBy>Bernhard Schenkenfelder</cp:lastModifiedBy>
  <dcterms:created xsi:type="dcterms:W3CDTF">2026-05-12T08:30:34Z</dcterms:created>
  <dcterms:modified xsi:type="dcterms:W3CDTF">2026-06-03T07:47:15Z</dcterms:modified>
</cp:coreProperties>
</file>